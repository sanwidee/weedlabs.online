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emasukan" sheetId="2" state="visible" r:id="rId2"/>
    <sheet xmlns:r="http://schemas.openxmlformats.org/officeDocument/2006/relationships" name="Pengeluaran" sheetId="3" state="visible" r:id="rId3"/>
    <sheet xmlns:r="http://schemas.openxmlformats.org/officeDocument/2006/relationships" name="Tracking Harian" sheetId="4" state="visible" r:id="rId4"/>
    <sheet xmlns:r="http://schemas.openxmlformats.org/officeDocument/2006/relationships" name="Cara Pak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3" fillId="0" borderId="1" pivotButton="0" quotePrefix="0" xfId="0"/>
    <xf numFmtId="165" fontId="3" fillId="0" borderId="1" pivotButton="0" quotePrefix="0" xfId="0"/>
    <xf numFmtId="49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 ht="26" customHeight="1">
      <c r="A1" s="1" t="inlineStr">
        <is>
          <t>📊 DASHBOARD ANGGARAN BULANAN</t>
        </is>
      </c>
    </row>
    <row r="3">
      <c r="A3" s="2" t="inlineStr">
        <is>
          <t>Total Pemasukan/Bln</t>
        </is>
      </c>
      <c r="B3" s="3">
        <f>SUM(Pemasukan!C2:C20)</f>
        <v/>
      </c>
    </row>
    <row r="4">
      <c r="A4" s="2" t="inlineStr">
        <is>
          <t>Total Anggaran Pengeluaran</t>
        </is>
      </c>
      <c r="B4" s="3">
        <f>SUM(Pengeluaran!C2:C20)</f>
        <v/>
      </c>
    </row>
    <row r="5">
      <c r="A5" s="2" t="inlineStr">
        <is>
          <t>Total Aktual Pengeluaran</t>
        </is>
      </c>
      <c r="B5" s="3">
        <f>SUM(Pengeluaran!D2:D20)</f>
        <v/>
      </c>
    </row>
    <row r="6">
      <c r="A6" s="2" t="inlineStr">
        <is>
          <t>Sisa/Surplus</t>
        </is>
      </c>
      <c r="B6" s="3">
        <f>B3-B5</f>
        <v/>
      </c>
    </row>
    <row r="7">
      <c r="A7" s="2" t="inlineStr">
        <is>
          <t>Savings Rate</t>
        </is>
      </c>
      <c r="B7" s="4">
        <f>(B3-B5)/B3</f>
        <v/>
      </c>
    </row>
    <row r="8">
      <c r="A8" s="2" t="inlineStr">
        <is>
          <t>Status Anggaran</t>
        </is>
      </c>
      <c r="B8" s="5">
        <f>IF(B5&lt;=B4,"✅ On Budget","⚠️ Over Budget")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15" customWidth="1" min="5" max="5"/>
  </cols>
  <sheetData>
    <row r="1" ht="20" customHeight="1">
      <c r="A1" s="6" t="inlineStr">
        <is>
          <t>No</t>
        </is>
      </c>
      <c r="B1" s="6" t="inlineStr">
        <is>
          <t>Sumber Pemasukan</t>
        </is>
      </c>
      <c r="C1" s="6" t="inlineStr">
        <is>
          <t>Bulanan (Rp)</t>
        </is>
      </c>
      <c r="D1" s="6" t="inlineStr">
        <is>
          <t>Tahunan (Rp)</t>
        </is>
      </c>
      <c r="E1" s="6" t="inlineStr">
        <is>
          <t>Keterangan</t>
        </is>
      </c>
    </row>
    <row r="2">
      <c r="A2" s="7" t="n">
        <v>1</v>
      </c>
      <c r="B2" s="7" t="inlineStr">
        <is>
          <t>Gaji Pokok</t>
        </is>
      </c>
      <c r="C2" s="8" t="n">
        <v>8500000</v>
      </c>
      <c r="D2" s="9">
        <f>C2*12</f>
        <v/>
      </c>
    </row>
    <row r="3">
      <c r="A3" s="7" t="n">
        <v>2</v>
      </c>
      <c r="B3" s="7" t="inlineStr">
        <is>
          <t>Tunjangan Transport</t>
        </is>
      </c>
      <c r="C3" s="8" t="n">
        <v>500000</v>
      </c>
      <c r="D3" s="9">
        <f>C3*12</f>
        <v/>
      </c>
    </row>
    <row r="4">
      <c r="A4" s="7" t="n">
        <v>3</v>
      </c>
      <c r="B4" s="7" t="inlineStr">
        <is>
          <t>Tunjangan Makan</t>
        </is>
      </c>
      <c r="C4" s="8" t="n">
        <v>400000</v>
      </c>
      <c r="D4" s="9">
        <f>C4*12</f>
        <v/>
      </c>
    </row>
    <row r="5">
      <c r="A5" s="7" t="n">
        <v>4</v>
      </c>
      <c r="B5" s="7" t="inlineStr">
        <is>
          <t>Freelance/Sampingan</t>
        </is>
      </c>
      <c r="C5" s="8" t="n">
        <v>1500000</v>
      </c>
      <c r="D5" s="9">
        <f>C5*12</f>
        <v/>
      </c>
    </row>
    <row r="6">
      <c r="A6" s="7" t="n">
        <v>5</v>
      </c>
      <c r="B6" s="7" t="inlineStr">
        <is>
          <t>Investasi (Dividen/Bunga)</t>
        </is>
      </c>
      <c r="C6" s="8" t="n">
        <v>200000</v>
      </c>
      <c r="D6" s="9">
        <f>C6*12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 ht="20" customHeight="1">
      <c r="A1" s="6" t="inlineStr">
        <is>
          <t>No</t>
        </is>
      </c>
      <c r="B1" s="6" t="inlineStr">
        <is>
          <t>Kategori</t>
        </is>
      </c>
      <c r="C1" s="6" t="inlineStr">
        <is>
          <t>Budget (Rp)</t>
        </is>
      </c>
      <c r="D1" s="6" t="inlineStr">
        <is>
          <t>Aktual (Rp)</t>
        </is>
      </c>
      <c r="E1" s="6" t="inlineStr">
        <is>
          <t>Selisih (Rp)</t>
        </is>
      </c>
      <c r="F1" s="6" t="inlineStr">
        <is>
          <t>% Income</t>
        </is>
      </c>
    </row>
    <row r="2">
      <c r="A2" s="7" t="n">
        <v>1</v>
      </c>
      <c r="B2" s="7" t="inlineStr">
        <is>
          <t>Sewa/KPR</t>
        </is>
      </c>
      <c r="C2" s="8" t="n">
        <v>2500000</v>
      </c>
      <c r="D2" s="8" t="n">
        <v>2500000</v>
      </c>
      <c r="E2" s="9">
        <f>C2-D2</f>
        <v/>
      </c>
      <c r="F2" s="10">
        <f>D2/SUM(Pemasukan!C2:C20)</f>
        <v/>
      </c>
    </row>
    <row r="3">
      <c r="A3" s="7" t="n">
        <v>2</v>
      </c>
      <c r="B3" s="7" t="inlineStr">
        <is>
          <t>Makan &amp; Minum</t>
        </is>
      </c>
      <c r="C3" s="8" t="n">
        <v>1800000</v>
      </c>
      <c r="D3" s="8" t="n">
        <v>2100000</v>
      </c>
      <c r="E3" s="9">
        <f>C3-D3</f>
        <v/>
      </c>
      <c r="F3" s="10">
        <f>D3/SUM(Pemasukan!C2:C20)</f>
        <v/>
      </c>
    </row>
    <row r="4">
      <c r="A4" s="7" t="n">
        <v>3</v>
      </c>
      <c r="B4" s="7" t="inlineStr">
        <is>
          <t>Transport &amp; BBM</t>
        </is>
      </c>
      <c r="C4" s="8" t="n">
        <v>600000</v>
      </c>
      <c r="D4" s="8" t="n">
        <v>700000</v>
      </c>
      <c r="E4" s="9">
        <f>C4-D4</f>
        <v/>
      </c>
      <c r="F4" s="10">
        <f>D4/SUM(Pemasukan!C2:C20)</f>
        <v/>
      </c>
    </row>
    <row r="5">
      <c r="A5" s="7" t="n">
        <v>4</v>
      </c>
      <c r="B5" s="7" t="inlineStr">
        <is>
          <t>Tagihan Listrik/Air/Internet</t>
        </is>
      </c>
      <c r="C5" s="8" t="n">
        <v>400000</v>
      </c>
      <c r="D5" s="8" t="n">
        <v>380000</v>
      </c>
      <c r="E5" s="9">
        <f>C5-D5</f>
        <v/>
      </c>
      <c r="F5" s="10">
        <f>D5/SUM(Pemasukan!C2:C20)</f>
        <v/>
      </c>
    </row>
    <row r="6">
      <c r="A6" s="7" t="n">
        <v>5</v>
      </c>
      <c r="B6" s="7" t="inlineStr">
        <is>
          <t>Cicilan Utang</t>
        </is>
      </c>
      <c r="C6" s="8" t="n">
        <v>2100000</v>
      </c>
      <c r="D6" s="8" t="n">
        <v>2100000</v>
      </c>
      <c r="E6" s="9">
        <f>C6-D6</f>
        <v/>
      </c>
      <c r="F6" s="10">
        <f>D6/SUM(Pemasukan!C2:C20)</f>
        <v/>
      </c>
    </row>
    <row r="7">
      <c r="A7" s="7" t="n">
        <v>6</v>
      </c>
      <c r="B7" s="7" t="inlineStr">
        <is>
          <t>Tabungan</t>
        </is>
      </c>
      <c r="C7" s="8" t="n">
        <v>500000</v>
      </c>
      <c r="D7" s="8" t="n">
        <v>500000</v>
      </c>
      <c r="E7" s="9">
        <f>C7-D7</f>
        <v/>
      </c>
      <c r="F7" s="10">
        <f>D7/SUM(Pemasukan!C2:C20)</f>
        <v/>
      </c>
    </row>
    <row r="8">
      <c r="A8" s="7" t="n">
        <v>7</v>
      </c>
      <c r="B8" s="7" t="inlineStr">
        <is>
          <t>Hiburan &amp; Langganan</t>
        </is>
      </c>
      <c r="C8" s="8" t="n">
        <v>300000</v>
      </c>
      <c r="D8" s="8" t="n">
        <v>450000</v>
      </c>
      <c r="E8" s="9">
        <f>C8-D8</f>
        <v/>
      </c>
      <c r="F8" s="10">
        <f>D8/SUM(Pemasukan!C2:C20)</f>
        <v/>
      </c>
    </row>
    <row r="9">
      <c r="A9" s="7" t="n">
        <v>8</v>
      </c>
      <c r="B9" s="7" t="inlineStr">
        <is>
          <t>Pakaian &amp; Perawatan</t>
        </is>
      </c>
      <c r="C9" s="8" t="n">
        <v>200000</v>
      </c>
      <c r="D9" s="8" t="n">
        <v>150000</v>
      </c>
      <c r="E9" s="9">
        <f>C9-D9</f>
        <v/>
      </c>
      <c r="F9" s="10">
        <f>D9/SUM(Pemasukan!C2:C20)</f>
        <v/>
      </c>
    </row>
    <row r="10">
      <c r="A10" s="7" t="n">
        <v>9</v>
      </c>
      <c r="B10" s="7" t="inlineStr">
        <is>
          <t>Kesehatan</t>
        </is>
      </c>
      <c r="C10" s="8" t="n">
        <v>150000</v>
      </c>
      <c r="D10" s="8" t="n">
        <v>80000</v>
      </c>
      <c r="E10" s="9">
        <f>C10-D10</f>
        <v/>
      </c>
      <c r="F10" s="10">
        <f>D10/SUM(Pemasukan!C2:C20)</f>
        <v/>
      </c>
    </row>
    <row r="11">
      <c r="A11" s="7" t="n">
        <v>10</v>
      </c>
      <c r="B11" s="7" t="inlineStr">
        <is>
          <t>Pendidikan</t>
        </is>
      </c>
      <c r="C11" s="8" t="n">
        <v>200000</v>
      </c>
      <c r="D11" s="8" t="n">
        <v>200000</v>
      </c>
      <c r="E11" s="9">
        <f>C11-D11</f>
        <v/>
      </c>
      <c r="F11" s="10">
        <f>D11/SUM(Pemasukan!C2:C20)</f>
        <v/>
      </c>
    </row>
    <row r="12">
      <c r="A12" s="7" t="n">
        <v>11</v>
      </c>
      <c r="B12" s="7" t="inlineStr">
        <is>
          <t>Lain-lain</t>
        </is>
      </c>
      <c r="C12" s="8" t="n">
        <v>300000</v>
      </c>
      <c r="D12" s="8" t="n">
        <v>320000</v>
      </c>
      <c r="E12" s="9">
        <f>C12-D12</f>
        <v/>
      </c>
      <c r="F12" s="10">
        <f>D12/SUM(Pemasukan!C2:C20)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</cols>
  <sheetData>
    <row r="1" ht="20" customHeight="1">
      <c r="A1" s="6" t="inlineStr">
        <is>
          <t>Tanggal</t>
        </is>
      </c>
      <c r="B1" s="6" t="inlineStr">
        <is>
          <t>Keterangan</t>
        </is>
      </c>
      <c r="C1" s="6" t="inlineStr">
        <is>
          <t>Kategori</t>
        </is>
      </c>
      <c r="D1" s="6" t="inlineStr">
        <is>
          <t>Jumlah (Rp)</t>
        </is>
      </c>
    </row>
    <row r="2">
      <c r="A2" s="7" t="inlineStr">
        <is>
          <t>01/04/2026</t>
        </is>
      </c>
      <c r="B2" s="7" t="inlineStr">
        <is>
          <t>Belanja groceries Alfamart</t>
        </is>
      </c>
      <c r="C2" s="7" t="inlineStr">
        <is>
          <t>Makan &amp; Minum</t>
        </is>
      </c>
      <c r="D2" s="8" t="n">
        <v>85000</v>
      </c>
    </row>
    <row r="3">
      <c r="A3" s="7" t="inlineStr">
        <is>
          <t>01/04/2026</t>
        </is>
      </c>
      <c r="B3" s="7" t="inlineStr">
        <is>
          <t>Token listrik</t>
        </is>
      </c>
      <c r="C3" s="7" t="inlineStr">
        <is>
          <t>Tagihan</t>
        </is>
      </c>
      <c r="D3" s="8" t="n">
        <v>100000</v>
      </c>
    </row>
    <row r="4">
      <c r="A4" s="7" t="inlineStr">
        <is>
          <t>02/04/2026</t>
        </is>
      </c>
      <c r="B4" s="7" t="inlineStr">
        <is>
          <t>Makan siang warung</t>
        </is>
      </c>
      <c r="C4" s="7" t="inlineStr">
        <is>
          <t>Makan &amp; Minum</t>
        </is>
      </c>
      <c r="D4" s="8" t="n">
        <v>25000</v>
      </c>
    </row>
    <row r="5">
      <c r="A5" s="7" t="inlineStr">
        <is>
          <t>03/04/2026</t>
        </is>
      </c>
      <c r="B5" s="7" t="inlineStr">
        <is>
          <t>Grab ke kantor</t>
        </is>
      </c>
      <c r="C5" s="7" t="inlineStr">
        <is>
          <t>Transport &amp; BBM</t>
        </is>
      </c>
      <c r="D5" s="8" t="n">
        <v>32000</v>
      </c>
    </row>
    <row r="6">
      <c r="A6" s="7" t="inlineStr">
        <is>
          <t>04/04/2026</t>
        </is>
      </c>
      <c r="B6" s="7" t="inlineStr">
        <is>
          <t>Netflix</t>
        </is>
      </c>
      <c r="C6" s="7" t="inlineStr">
        <is>
          <t>Hiburan &amp; Langganan</t>
        </is>
      </c>
      <c r="D6" s="8" t="n">
        <v>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1" t="inlineStr">
        <is>
          <t>Cara Pakai — Anggaran Bulanan</t>
        </is>
      </c>
    </row>
    <row r="3">
      <c r="A3" s="12" t="inlineStr">
        <is>
          <t>PANDUAN WARNA:</t>
        </is>
      </c>
    </row>
    <row r="4">
      <c r="A4" s="13" t="inlineStr">
        <is>
          <t xml:space="preserve">  • Biru: Sel input — ISI dengan data kamu</t>
        </is>
      </c>
    </row>
    <row r="5">
      <c r="A5" s="13" t="inlineStr">
        <is>
          <t xml:space="preserve">  • Hitam: Formula otomatis — JANGAN dihapus</t>
        </is>
      </c>
    </row>
    <row r="6">
      <c r="A6" s="13" t="inlineStr">
        <is>
          <t xml:space="preserve">  • Hijau: Mengambil data dari sheet lain — jangan dihapus</t>
        </is>
      </c>
    </row>
    <row r="7">
      <c r="A7" s="13" t="inlineStr">
        <is>
          <t xml:space="preserve">  • Background kuning: Asumsi penting yang perlu diperhatikan</t>
        </is>
      </c>
    </row>
    <row r="9">
      <c r="A9" s="12" t="inlineStr">
        <is>
          <t>LANGKAH-LANGKAH:</t>
        </is>
      </c>
    </row>
    <row r="10">
      <c r="A10" s="13" t="inlineStr">
        <is>
          <t xml:space="preserve">  1. Isi sheet "Pemasukan" dengan semua sumber pendapatanmu</t>
        </is>
      </c>
    </row>
    <row r="11">
      <c r="A11" s="13" t="inlineStr">
        <is>
          <t xml:space="preserve">  2. Isi kolom "Budget" di sheet "Pengeluaran" dengan rencana pengeluaran</t>
        </is>
      </c>
    </row>
    <row r="12">
      <c r="A12" s="13" t="inlineStr">
        <is>
          <t xml:space="preserve">  3. Setiap hari, catat pengeluaran di sheet "Tracking Harian"</t>
        </is>
      </c>
    </row>
    <row r="13">
      <c r="A13" s="13" t="inlineStr">
        <is>
          <t xml:space="preserve">  4. Isi kolom "Aktual" di Pengeluaran dengan total aktual tiap kategori</t>
        </is>
      </c>
    </row>
    <row r="14">
      <c r="A14" s="13" t="inlineStr">
        <is>
          <t xml:space="preserve">  5. Dashboard otomatis hitung savings rate dan status anggaran</t>
        </is>
      </c>
    </row>
    <row r="17">
      <c r="A17" s="14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