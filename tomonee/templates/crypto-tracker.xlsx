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DCA Calculator" sheetId="3" state="visible" r:id="rId3"/>
    <sheet xmlns:r="http://schemas.openxmlformats.org/officeDocument/2006/relationships" name="Tax Helper" sheetId="4" state="visible" r:id="rId4"/>
    <sheet xmlns:r="http://schemas.openxmlformats.org/officeDocument/2006/relationships" name="Cara Pak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p #,##0"/>
    <numFmt numFmtId="165" formatCode="$#,##0.00"/>
    <numFmt numFmtId="166" formatCode="0.0%"/>
    <numFmt numFmtId="167" formatCode="$#,##0"/>
    <numFmt numFmtId="168" formatCode="0.00000000"/>
  </numFmts>
  <fonts count="11">
    <font>
      <name val="Calibri"/>
      <family val="2"/>
      <color theme="1"/>
      <sz val="11"/>
      <scheme val="minor"/>
    </font>
    <font>
      <name val="Arial"/>
      <color rgb="000000FF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CC0000"/>
      <sz val="9"/>
    </font>
    <font>
      <name val="Arial"/>
      <b val="1"/>
      <color rgb="001F3864"/>
      <sz val="14"/>
    </font>
    <font>
      <name val="Arial"/>
      <b val="1"/>
      <sz val="11"/>
    </font>
    <font>
      <name val="Arial"/>
      <sz val="10"/>
    </font>
    <font>
      <name val="Arial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165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1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1" fillId="2" borderId="0" pivotButton="0" quotePrefix="0" xfId="0"/>
    <xf numFmtId="167" fontId="1" fillId="2" borderId="0" pivotButton="0" quotePrefix="0" xfId="0"/>
    <xf numFmtId="167" fontId="1" fillId="0" borderId="1" pivotButton="0" quotePrefix="0" xfId="0"/>
    <xf numFmtId="168" fontId="3" fillId="0" borderId="1" pivotButton="0" quotePrefix="0" xfId="0"/>
    <xf numFmtId="167" fontId="3" fillId="0" borderId="1" pivotButton="0" quotePrefix="0" xfId="0"/>
    <xf numFmtId="0" fontId="6" fillId="0" borderId="0" pivotButton="0" quotePrefix="0" xfId="0"/>
    <xf numFmtId="0" fontId="1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t="inlineStr">
        <is>
          <t>Kurs USD/IDR (input):</t>
        </is>
      </c>
      <c r="B1" s="1" t="n">
        <v>16200</v>
      </c>
    </row>
    <row r="2">
      <c r="A2" s="2" t="inlineStr">
        <is>
          <t>DASHBOARD CRYPTO</t>
        </is>
      </c>
    </row>
    <row r="3">
      <c r="A3" s="3" t="inlineStr">
        <is>
          <t>Total Nilai USD</t>
        </is>
      </c>
      <c r="B3" s="4">
        <f>SUM(Holdings!G2:G20)</f>
        <v/>
      </c>
    </row>
    <row r="4">
      <c r="A4" s="3" t="inlineStr">
        <is>
          <t>Total Nilai IDR</t>
        </is>
      </c>
      <c r="B4" s="5">
        <f>B3*Dashboard!B1</f>
        <v/>
      </c>
    </row>
    <row r="5">
      <c r="A5" s="3" t="inlineStr">
        <is>
          <t>Jumlah Koin</t>
        </is>
      </c>
      <c r="B5" s="6">
        <f>COUNTA(Holdings!A2:A20)</f>
        <v/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0" customHeight="1">
      <c r="A1" s="7" t="inlineStr">
        <is>
          <t>Simbol</t>
        </is>
      </c>
      <c r="B1" s="7" t="inlineStr">
        <is>
          <t>Nama Koin</t>
        </is>
      </c>
      <c r="C1" s="7" t="inlineStr">
        <is>
          <t>Harga Beli ($)</t>
        </is>
      </c>
      <c r="D1" s="7" t="inlineStr">
        <is>
          <t>Harga Skrg ($)</t>
        </is>
      </c>
      <c r="E1" s="7" t="inlineStr">
        <is>
          <t>Jumlah</t>
        </is>
      </c>
      <c r="F1" s="7" t="inlineStr">
        <is>
          <t>Nilai Beli ($)</t>
        </is>
      </c>
      <c r="G1" s="7" t="inlineStr">
        <is>
          <t>Nilai Skrg ($)</t>
        </is>
      </c>
      <c r="H1" s="7" t="inlineStr">
        <is>
          <t>P&amp;L ($)</t>
        </is>
      </c>
      <c r="I1" s="7" t="inlineStr">
        <is>
          <t>P&amp;L %</t>
        </is>
      </c>
    </row>
    <row r="2">
      <c r="A2" s="8" t="inlineStr">
        <is>
          <t>BTC</t>
        </is>
      </c>
      <c r="B2" s="8" t="inlineStr">
        <is>
          <t>Bitcoin</t>
        </is>
      </c>
      <c r="C2" s="9" t="n">
        <v>65000</v>
      </c>
      <c r="D2" s="9" t="n">
        <v>82000</v>
      </c>
      <c r="E2" s="8" t="n">
        <v>0.12</v>
      </c>
      <c r="F2" s="10">
        <f>C2*E2</f>
        <v/>
      </c>
      <c r="G2" s="10">
        <f>D2*E2</f>
        <v/>
      </c>
      <c r="H2" s="10">
        <f>G2-F2</f>
        <v/>
      </c>
      <c r="I2" s="11">
        <f>IF(F2=0,0,H2/F2)</f>
        <v/>
      </c>
    </row>
    <row r="3">
      <c r="A3" s="8" t="inlineStr">
        <is>
          <t>ETH</t>
        </is>
      </c>
      <c r="B3" s="8" t="inlineStr">
        <is>
          <t>Ethereum</t>
        </is>
      </c>
      <c r="C3" s="9" t="n">
        <v>2800</v>
      </c>
      <c r="D3" s="9" t="n">
        <v>3200</v>
      </c>
      <c r="E3" s="8" t="n">
        <v>1.5</v>
      </c>
      <c r="F3" s="10">
        <f>C3*E3</f>
        <v/>
      </c>
      <c r="G3" s="10">
        <f>D3*E3</f>
        <v/>
      </c>
      <c r="H3" s="10">
        <f>G3-F3</f>
        <v/>
      </c>
      <c r="I3" s="11">
        <f>IF(F3=0,0,H3/F3)</f>
        <v/>
      </c>
    </row>
    <row r="4">
      <c r="A4" s="8" t="inlineStr">
        <is>
          <t>BNB</t>
        </is>
      </c>
      <c r="B4" s="8" t="inlineStr">
        <is>
          <t>Binance Coin</t>
        </is>
      </c>
      <c r="C4" s="9" t="n">
        <v>380</v>
      </c>
      <c r="D4" s="9" t="n">
        <v>420</v>
      </c>
      <c r="E4" s="8" t="n">
        <v>3</v>
      </c>
      <c r="F4" s="10">
        <f>C4*E4</f>
        <v/>
      </c>
      <c r="G4" s="10">
        <f>D4*E4</f>
        <v/>
      </c>
      <c r="H4" s="10">
        <f>G4-F4</f>
        <v/>
      </c>
      <c r="I4" s="11">
        <f>IF(F4=0,0,H4/F4)</f>
        <v/>
      </c>
    </row>
    <row r="5">
      <c r="A5" s="8" t="inlineStr">
        <is>
          <t>SOL</t>
        </is>
      </c>
      <c r="B5" s="8" t="inlineStr">
        <is>
          <t>Solana</t>
        </is>
      </c>
      <c r="C5" s="9" t="n">
        <v>180</v>
      </c>
      <c r="D5" s="9" t="n">
        <v>210</v>
      </c>
      <c r="E5" s="8" t="n">
        <v>8</v>
      </c>
      <c r="F5" s="10">
        <f>C5*E5</f>
        <v/>
      </c>
      <c r="G5" s="10">
        <f>D5*E5</f>
        <v/>
      </c>
      <c r="H5" s="10">
        <f>G5-F5</f>
        <v/>
      </c>
      <c r="I5" s="11">
        <f>IF(F5=0,0,H5/F5)</f>
        <v/>
      </c>
    </row>
    <row r="6">
      <c r="A6" s="8" t="inlineStr">
        <is>
          <t>ADA</t>
        </is>
      </c>
      <c r="B6" s="8" t="inlineStr">
        <is>
          <t>Cardano</t>
        </is>
      </c>
      <c r="C6" s="9" t="n">
        <v>0.48</v>
      </c>
      <c r="D6" s="9" t="n">
        <v>0.55</v>
      </c>
      <c r="E6" s="8" t="n">
        <v>5000</v>
      </c>
      <c r="F6" s="10">
        <f>C6*E6</f>
        <v/>
      </c>
      <c r="G6" s="10">
        <f>D6*E6</f>
        <v/>
      </c>
      <c r="H6" s="10">
        <f>G6-F6</f>
        <v/>
      </c>
      <c r="I6" s="11">
        <f>IF(F6=0,0,H6/F6)</f>
        <v/>
      </c>
    </row>
    <row r="7">
      <c r="A7" s="8" t="inlineStr">
        <is>
          <t>DOGE</t>
        </is>
      </c>
      <c r="B7" s="8" t="inlineStr">
        <is>
          <t>Dogecoin</t>
        </is>
      </c>
      <c r="C7" s="9" t="n">
        <v>0.18</v>
      </c>
      <c r="D7" s="9" t="n">
        <v>0.22</v>
      </c>
      <c r="E7" s="8" t="n">
        <v>10000</v>
      </c>
      <c r="F7" s="10">
        <f>C7*E7</f>
        <v/>
      </c>
      <c r="G7" s="10">
        <f>D7*E7</f>
        <v/>
      </c>
      <c r="H7" s="10">
        <f>G7-F7</f>
        <v/>
      </c>
      <c r="I7" s="11">
        <f>IF(F7=0,0,H7/F7)</f>
        <v/>
      </c>
    </row>
    <row r="8">
      <c r="A8" s="8" t="inlineStr">
        <is>
          <t>MATIC</t>
        </is>
      </c>
      <c r="B8" s="8" t="inlineStr">
        <is>
          <t>Polygon</t>
        </is>
      </c>
      <c r="C8" s="9" t="n">
        <v>0.85</v>
      </c>
      <c r="D8" s="9" t="n">
        <v>0.95</v>
      </c>
      <c r="E8" s="8" t="n">
        <v>500</v>
      </c>
      <c r="F8" s="10">
        <f>C8*E8</f>
        <v/>
      </c>
      <c r="G8" s="10">
        <f>D8*E8</f>
        <v/>
      </c>
      <c r="H8" s="10">
        <f>G8-F8</f>
        <v/>
      </c>
      <c r="I8" s="11">
        <f>IF(F8=0,0,H8/F8)</f>
        <v/>
      </c>
    </row>
    <row r="9">
      <c r="A9" s="8" t="inlineStr">
        <is>
          <t>LINK</t>
        </is>
      </c>
      <c r="B9" s="8" t="inlineStr">
        <is>
          <t>Chainlink</t>
        </is>
      </c>
      <c r="C9" s="9" t="n">
        <v>14.5</v>
      </c>
      <c r="D9" s="9" t="n">
        <v>16.8</v>
      </c>
      <c r="E9" s="8" t="n">
        <v>20</v>
      </c>
      <c r="F9" s="10">
        <f>C9*E9</f>
        <v/>
      </c>
      <c r="G9" s="10">
        <f>D9*E9</f>
        <v/>
      </c>
      <c r="H9" s="10">
        <f>G9-F9</f>
        <v/>
      </c>
      <c r="I9" s="11">
        <f>IF(F9=0,0,H9/F9)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Koin:</t>
        </is>
      </c>
      <c r="B1" s="12" t="inlineStr">
        <is>
          <t>Bitcoin</t>
        </is>
      </c>
    </row>
    <row r="2">
      <c r="A2" t="inlineStr">
        <is>
          <t>Investasi/Bulan ($):</t>
        </is>
      </c>
      <c r="B2" s="12" t="n">
        <v>100</v>
      </c>
    </row>
    <row r="3">
      <c r="A3" t="inlineStr">
        <is>
          <t>Harga Sekarang ($):</t>
        </is>
      </c>
      <c r="B3" s="13" t="n">
        <v>82000</v>
      </c>
    </row>
    <row r="5" ht="20" customHeight="1">
      <c r="A5" s="7" t="inlineStr">
        <is>
          <t>Bulan</t>
        </is>
      </c>
      <c r="B5" s="7" t="inlineStr">
        <is>
          <t>Harga BTC ($)</t>
        </is>
      </c>
      <c r="C5" s="7" t="inlineStr">
        <is>
          <t>BTC Dibeli</t>
        </is>
      </c>
      <c r="D5" s="7" t="inlineStr">
        <is>
          <t>Total Investasi ($)</t>
        </is>
      </c>
      <c r="E5" s="7" t="inlineStr">
        <is>
          <t>Rata-Rata Beli ($)</t>
        </is>
      </c>
    </row>
    <row r="6">
      <c r="A6" s="8" t="n">
        <v>1</v>
      </c>
      <c r="B6" s="14" t="n">
        <v>65000</v>
      </c>
      <c r="C6" s="15">
        <f>$B$2/B6</f>
        <v/>
      </c>
      <c r="D6" s="16">
        <f>(A6)*$B$2</f>
        <v/>
      </c>
      <c r="E6" s="16">
        <f>D6/SUM(C$6:C6)</f>
        <v/>
      </c>
    </row>
    <row r="7">
      <c r="A7" s="8" t="n">
        <v>2</v>
      </c>
      <c r="B7" s="14" t="n">
        <v>68000</v>
      </c>
      <c r="C7" s="15">
        <f>$B$2/B7</f>
        <v/>
      </c>
      <c r="D7" s="16">
        <f>(A7)*$B$2</f>
        <v/>
      </c>
      <c r="E7" s="16">
        <f>D7/SUM(C$6:C7)</f>
        <v/>
      </c>
    </row>
    <row r="8">
      <c r="A8" s="8" t="n">
        <v>3</v>
      </c>
      <c r="B8" s="14" t="n">
        <v>72000</v>
      </c>
      <c r="C8" s="15">
        <f>$B$2/B8</f>
        <v/>
      </c>
      <c r="D8" s="16">
        <f>(A8)*$B$2</f>
        <v/>
      </c>
      <c r="E8" s="16">
        <f>D8/SUM(C$6:C8)</f>
        <v/>
      </c>
    </row>
    <row r="9">
      <c r="A9" s="8" t="n">
        <v>4</v>
      </c>
      <c r="B9" s="14" t="n">
        <v>75000</v>
      </c>
      <c r="C9" s="15">
        <f>$B$2/B9</f>
        <v/>
      </c>
      <c r="D9" s="16">
        <f>(A9)*$B$2</f>
        <v/>
      </c>
      <c r="E9" s="16">
        <f>D9/SUM(C$6:C9)</f>
        <v/>
      </c>
    </row>
    <row r="10">
      <c r="A10" s="8" t="n">
        <v>5</v>
      </c>
      <c r="B10" s="14" t="n">
        <v>69000</v>
      </c>
      <c r="C10" s="15">
        <f>$B$2/B10</f>
        <v/>
      </c>
      <c r="D10" s="16">
        <f>(A10)*$B$2</f>
        <v/>
      </c>
      <c r="E10" s="16">
        <f>D10/SUM(C$6:C10)</f>
        <v/>
      </c>
    </row>
    <row r="11">
      <c r="A11" s="8" t="n">
        <v>6</v>
      </c>
      <c r="B11" s="14" t="n">
        <v>80000</v>
      </c>
      <c r="C11" s="15">
        <f>$B$2/B11</f>
        <v/>
      </c>
      <c r="D11" s="16">
        <f>(A11)*$B$2</f>
        <v/>
      </c>
      <c r="E11" s="16">
        <f>D11/SUM(C$6:C11)</f>
        <v/>
      </c>
    </row>
    <row r="12">
      <c r="A12" s="8" t="n">
        <v>7</v>
      </c>
      <c r="B12" s="14" t="n">
        <v>78000</v>
      </c>
      <c r="C12" s="15">
        <f>$B$2/B12</f>
        <v/>
      </c>
      <c r="D12" s="16">
        <f>(A12)*$B$2</f>
        <v/>
      </c>
      <c r="E12" s="16">
        <f>D12/SUM(C$6:C12)</f>
        <v/>
      </c>
    </row>
    <row r="13">
      <c r="A13" s="8" t="n">
        <v>8</v>
      </c>
      <c r="B13" s="14" t="n">
        <v>82000</v>
      </c>
      <c r="C13" s="15">
        <f>$B$2/B13</f>
        <v/>
      </c>
      <c r="D13" s="16">
        <f>(A13)*$B$2</f>
        <v/>
      </c>
      <c r="E13" s="16">
        <f>D13/SUM(C$6:C13)</f>
        <v/>
      </c>
    </row>
    <row r="14">
      <c r="A14" s="8" t="n">
        <v>9</v>
      </c>
      <c r="B14" s="14" t="n">
        <v>85000</v>
      </c>
      <c r="C14" s="15">
        <f>$B$2/B14</f>
        <v/>
      </c>
      <c r="D14" s="16">
        <f>(A14)*$B$2</f>
        <v/>
      </c>
      <c r="E14" s="16">
        <f>D14/SUM(C$6:C14)</f>
        <v/>
      </c>
    </row>
    <row r="15">
      <c r="A15" s="8" t="n">
        <v>10</v>
      </c>
      <c r="B15" s="14" t="n">
        <v>88000</v>
      </c>
      <c r="C15" s="15">
        <f>$B$2/B15</f>
        <v/>
      </c>
      <c r="D15" s="16">
        <f>(A15)*$B$2</f>
        <v/>
      </c>
      <c r="E15" s="16">
        <f>D15/SUM(C$6:C15)</f>
        <v/>
      </c>
    </row>
    <row r="16">
      <c r="A16" s="8" t="n">
        <v>11</v>
      </c>
      <c r="B16" s="14" t="n">
        <v>90000</v>
      </c>
      <c r="C16" s="15">
        <f>$B$2/B16</f>
        <v/>
      </c>
      <c r="D16" s="16">
        <f>(A16)*$B$2</f>
        <v/>
      </c>
      <c r="E16" s="16">
        <f>D16/SUM(C$6:C16)</f>
        <v/>
      </c>
    </row>
    <row r="17">
      <c r="A17" s="8" t="n">
        <v>12</v>
      </c>
      <c r="B17" s="14" t="n">
        <v>95000</v>
      </c>
      <c r="C17" s="15">
        <f>$B$2/B17</f>
        <v/>
      </c>
      <c r="D17" s="16">
        <f>(A17)*$B$2</f>
        <v/>
      </c>
      <c r="E17" s="16">
        <f>D17/SUM(C$6:C17)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7" t="inlineStr">
        <is>
          <t>CATATAN: Sesuai PMK 68/2022 — Kripto dikenakan PPh Final 0.1% + PPN 0.11% dari nilai transaksi</t>
        </is>
      </c>
    </row>
    <row r="2" ht="20" customHeight="1">
      <c r="A2" s="7" t="inlineStr">
        <is>
          <t>Koin</t>
        </is>
      </c>
      <c r="B2" s="7" t="inlineStr">
        <is>
          <t>Tanggal Jual</t>
        </is>
      </c>
      <c r="C2" s="7" t="inlineStr">
        <is>
          <t>Harga Jual ($)</t>
        </is>
      </c>
      <c r="D2" s="7" t="inlineStr">
        <is>
          <t>Jumlah</t>
        </is>
      </c>
      <c r="E2" s="7" t="inlineStr">
        <is>
          <t>Nilai Jual ($)</t>
        </is>
      </c>
      <c r="F2" s="7" t="inlineStr">
        <is>
          <t>PPh 0.1%</t>
        </is>
      </c>
      <c r="G2" s="7" t="inlineStr">
        <is>
          <t>PPN 0.11%</t>
        </is>
      </c>
    </row>
    <row r="3">
      <c r="A3" s="8" t="inlineStr">
        <is>
          <t>BTC</t>
        </is>
      </c>
      <c r="B3" s="8" t="inlineStr">
        <is>
          <t>15/01/2026</t>
        </is>
      </c>
      <c r="C3" s="9" t="n">
        <v>92000</v>
      </c>
      <c r="D3" s="18" t="n">
        <v>0.05</v>
      </c>
      <c r="E3" s="10">
        <f>C3*D3</f>
        <v/>
      </c>
      <c r="F3" s="10">
        <f>E3*0.001</f>
        <v/>
      </c>
      <c r="G3" s="10">
        <f>E3*0.0011</f>
        <v/>
      </c>
    </row>
    <row r="4">
      <c r="A4" s="8" t="inlineStr">
        <is>
          <t>ETH</t>
        </is>
      </c>
      <c r="B4" s="8" t="inlineStr">
        <is>
          <t>20/02/2026</t>
        </is>
      </c>
      <c r="C4" s="9" t="n">
        <v>3500</v>
      </c>
      <c r="D4" s="18" t="n">
        <v>0.5</v>
      </c>
      <c r="E4" s="10">
        <f>C4*D4</f>
        <v/>
      </c>
      <c r="F4" s="10">
        <f>E4*0.001</f>
        <v/>
      </c>
      <c r="G4" s="10">
        <f>E4*0.0011</f>
        <v/>
      </c>
    </row>
    <row r="5">
      <c r="A5" s="8" t="inlineStr">
        <is>
          <t>SOL</t>
        </is>
      </c>
      <c r="B5" s="8" t="inlineStr">
        <is>
          <t>10/03/2026</t>
        </is>
      </c>
      <c r="C5" s="9" t="n">
        <v>220</v>
      </c>
      <c r="D5" s="18" t="n">
        <v>5</v>
      </c>
      <c r="E5" s="10">
        <f>C5*D5</f>
        <v/>
      </c>
      <c r="F5" s="10">
        <f>E5*0.001</f>
        <v/>
      </c>
      <c r="G5" s="10">
        <f>E5*0.0011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9" t="inlineStr">
        <is>
          <t>Cara Pakai — Crypto Tracker</t>
        </is>
      </c>
    </row>
    <row r="3">
      <c r="A3" s="20" t="inlineStr">
        <is>
          <t>PANDUAN WARNA:</t>
        </is>
      </c>
    </row>
    <row r="4">
      <c r="A4" s="21" t="inlineStr">
        <is>
          <t xml:space="preserve">  • Biru: Sel input — ISI dengan data kamu</t>
        </is>
      </c>
    </row>
    <row r="5">
      <c r="A5" s="21" t="inlineStr">
        <is>
          <t xml:space="preserve">  • Hitam: Formula otomatis — JANGAN dihapus</t>
        </is>
      </c>
    </row>
    <row r="6">
      <c r="A6" s="21" t="inlineStr">
        <is>
          <t xml:space="preserve">  • Hijau: Mengambil data dari sheet lain — jangan dihapus</t>
        </is>
      </c>
    </row>
    <row r="7">
      <c r="A7" s="21" t="inlineStr">
        <is>
          <t xml:space="preserve">  • Background kuning: Asumsi penting yang perlu diperhatikan</t>
        </is>
      </c>
    </row>
    <row r="9">
      <c r="A9" s="20" t="inlineStr">
        <is>
          <t>LANGKAH-LANGKAH:</t>
        </is>
      </c>
    </row>
    <row r="10">
      <c r="A10" s="21" t="inlineStr">
        <is>
          <t xml:space="preserve">  1. Update kurs USD/IDR di Dashboard (sel kuning)</t>
        </is>
      </c>
    </row>
    <row r="11">
      <c r="A11" s="21" t="inlineStr">
        <is>
          <t xml:space="preserve">  2. Isi Holdings dengan koin yang kamu miliki</t>
        </is>
      </c>
    </row>
    <row r="12">
      <c r="A12" s="21" t="inlineStr">
        <is>
          <t xml:space="preserve">  3. Update Harga Sekarang ($) secara berkala</t>
        </is>
      </c>
    </row>
    <row r="13">
      <c r="A13" s="21" t="inlineStr">
        <is>
          <t xml:space="preserve">  4. Gunakan DCA Calculator untuk simulasikan beli rutin</t>
        </is>
      </c>
    </row>
    <row r="14">
      <c r="A14" s="21" t="inlineStr">
        <is>
          <t xml:space="preserve">  5. Tax Helper membantu hitung kewajiban pajak per transaksi</t>
        </is>
      </c>
    </row>
    <row r="17">
      <c r="A17" s="22" t="inlineStr">
        <is>
          <t>© 2026 Tomonee — Template Keuangan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2026-04-13T17:37:54Z</dcterms:created>
  <dcterms:modified xmlns:dcterms="http://purl.org/dc/terms/" xmlns:xsi="http://www.w3.org/2001/XMLSchema-instance" xsi:type="dcterms:W3CDTF">2026-04-13T17:37:54Z</dcterms:modified>
</cp:coreProperties>
</file>