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ftar Utang" sheetId="2" state="visible" r:id="rId2"/>
    <sheet xmlns:r="http://schemas.openxmlformats.org/officeDocument/2006/relationships" name="Simulasi Pelunasan" sheetId="3" state="visible" r:id="rId3"/>
    <sheet xmlns:r="http://schemas.openxmlformats.org/officeDocument/2006/relationships" name="Cara Pak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990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FFFFFF"/>
      <sz val="13"/>
    </font>
    <font>
      <name val="Arial"/>
      <b val="1"/>
      <color rgb="001F3864"/>
      <sz val="14"/>
    </font>
    <font>
      <name val="Arial"/>
      <b val="1"/>
      <sz val="11"/>
    </font>
    <font>
      <name val="Arial"/>
      <sz val="10"/>
    </font>
    <font>
      <name val="Arial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E8F8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164" fontId="4" fillId="0" borderId="1" pivotButton="0" quotePrefix="0" xfId="0"/>
    <xf numFmtId="1" fontId="4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7" fillId="4" borderId="1" pivotButton="0" quotePrefix="0" xfId="0"/>
    <xf numFmtId="0" fontId="8" fillId="2" borderId="0" applyAlignment="1" pivotButton="0" quotePrefix="0" xfId="0">
      <alignment horizontal="center" vertical="center" wrapText="1"/>
    </xf>
    <xf numFmtId="164" fontId="7" fillId="5" borderId="0" pivotButton="0" quotePrefix="0" xfId="0"/>
    <xf numFmtId="0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0" fontId="5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📊 DASHBOARD MANAJEMEN UTANG</t>
        </is>
      </c>
    </row>
    <row r="3">
      <c r="A3" s="2" t="inlineStr">
        <is>
          <t>Ringkasan Utang</t>
        </is>
      </c>
    </row>
    <row r="4">
      <c r="A4" s="3" t="inlineStr">
        <is>
          <t>Total Pokok Utang</t>
        </is>
      </c>
      <c r="B4" s="4">
        <f>SUMIF('Daftar Utang'!G2:G11,"Aktif",'Daftar Utang'!D2:D11)</f>
        <v/>
      </c>
    </row>
    <row r="5">
      <c r="A5" s="3" t="inlineStr">
        <is>
          <t>Total Cicilan/Bulan</t>
        </is>
      </c>
      <c r="B5" s="4">
        <f>SUMIF('Daftar Utang'!G2:G11,"Aktif",'Daftar Utang'!F2:F11)</f>
        <v/>
      </c>
    </row>
    <row r="6">
      <c r="A6" s="3" t="inlineStr">
        <is>
          <t>Bunga Dibayar (est.)</t>
        </is>
      </c>
      <c r="B6" s="4">
        <f>SUMIF('Daftar Utang'!G2:G11,"Aktif",'Daftar Utang'!D2:D11)*AVERAGE('Daftar Utang'!E2:E11)/100*12</f>
        <v/>
      </c>
    </row>
    <row r="7">
      <c r="A7" s="3" t="inlineStr">
        <is>
          <t>Utang Aktif</t>
        </is>
      </c>
      <c r="B7" s="5">
        <f>COUNTIF('Daftar Utang'!G2:G11,"Aktif")</f>
        <v/>
      </c>
    </row>
    <row r="9">
      <c r="A9" s="2" t="inlineStr">
        <is>
          <t>Strategi Terbaik (dari Simulasi)</t>
        </is>
      </c>
    </row>
    <row r="10">
      <c r="A10" s="6" t="inlineStr">
        <is>
          <t>Metode Rekomendasi</t>
        </is>
      </c>
      <c r="B10" s="7" t="inlineStr">
        <is>
          <t>Avalanche (Bunga Tertinggi Dulu)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8" customWidth="1" min="4" max="4"/>
    <col width="14" customWidth="1" min="5" max="5"/>
    <col width="18" customWidth="1" min="6" max="6"/>
    <col width="12" customWidth="1" min="7" max="7"/>
    <col width="12" customWidth="1" min="8" max="8"/>
    <col width="18" customWidth="1" min="9" max="9"/>
  </cols>
  <sheetData>
    <row r="1" ht="20" customHeight="1">
      <c r="A1" s="8" t="inlineStr">
        <is>
          <t>No</t>
        </is>
      </c>
      <c r="B1" s="8" t="inlineStr">
        <is>
          <t>Nama Utang</t>
        </is>
      </c>
      <c r="C1" s="8" t="inlineStr">
        <is>
          <t>Kreditur</t>
        </is>
      </c>
      <c r="D1" s="8" t="inlineStr">
        <is>
          <t>Pokok (Rp)</t>
        </is>
      </c>
      <c r="E1" s="8" t="inlineStr">
        <is>
          <t>Bunga/Thn (%)</t>
        </is>
      </c>
      <c r="F1" s="8" t="inlineStr">
        <is>
          <t>Cicilan/Bln (Rp)</t>
        </is>
      </c>
      <c r="G1" s="8" t="inlineStr">
        <is>
          <t>Status</t>
        </is>
      </c>
      <c r="H1" s="8" t="inlineStr">
        <is>
          <t>Sisa Bulan</t>
        </is>
      </c>
      <c r="I1" s="8" t="inlineStr">
        <is>
          <t>Sisa Pokok (Rp)</t>
        </is>
      </c>
    </row>
    <row r="2">
      <c r="A2" s="9" t="n">
        <v>1</v>
      </c>
      <c r="B2" s="9" t="inlineStr">
        <is>
          <t>KPR BCA</t>
        </is>
      </c>
      <c r="C2" s="9" t="inlineStr">
        <is>
          <t>Bank BCA</t>
        </is>
      </c>
      <c r="D2" s="10" t="n">
        <v>285000000</v>
      </c>
      <c r="E2" s="11" t="n">
        <v>0.075</v>
      </c>
      <c r="F2" s="10" t="n">
        <v>2100000</v>
      </c>
      <c r="G2" s="12" t="inlineStr">
        <is>
          <t>Aktif</t>
        </is>
      </c>
      <c r="H2" s="9" t="n">
        <v>156</v>
      </c>
    </row>
    <row r="3">
      <c r="A3" s="9" t="n">
        <v>2</v>
      </c>
      <c r="B3" s="9" t="inlineStr">
        <is>
          <t>Kartu Kredit</t>
        </is>
      </c>
      <c r="C3" s="9" t="inlineStr">
        <is>
          <t>BNI</t>
        </is>
      </c>
      <c r="D3" s="10" t="n">
        <v>12500000</v>
      </c>
      <c r="E3" s="11" t="n">
        <v>0.24</v>
      </c>
      <c r="F3" s="10" t="n">
        <v>500000</v>
      </c>
      <c r="G3" s="12" t="inlineStr">
        <is>
          <t>Aktif</t>
        </is>
      </c>
      <c r="H3" s="9" t="n">
        <v>30</v>
      </c>
    </row>
    <row r="4">
      <c r="A4" s="9" t="n">
        <v>3</v>
      </c>
      <c r="B4" s="9" t="inlineStr">
        <is>
          <t>Kredit Motor</t>
        </is>
      </c>
      <c r="C4" s="9" t="inlineStr">
        <is>
          <t>FIF</t>
        </is>
      </c>
      <c r="D4" s="10" t="n">
        <v>8500000</v>
      </c>
      <c r="E4" s="11" t="n">
        <v>0.15</v>
      </c>
      <c r="F4" s="10" t="n">
        <v>350000</v>
      </c>
      <c r="G4" s="12" t="inlineStr">
        <is>
          <t>Aktif</t>
        </is>
      </c>
      <c r="H4" s="9" t="n">
        <v>28</v>
      </c>
    </row>
    <row r="5">
      <c r="A5" s="9" t="n">
        <v>4</v>
      </c>
      <c r="B5" s="9" t="inlineStr">
        <is>
          <t>KTA Mandiri</t>
        </is>
      </c>
      <c r="C5" s="9" t="inlineStr">
        <is>
          <t>Bank Mandiri</t>
        </is>
      </c>
      <c r="D5" s="10" t="n">
        <v>20000000</v>
      </c>
      <c r="E5" s="11" t="n">
        <v>0.12</v>
      </c>
      <c r="F5" s="10" t="n">
        <v>620000</v>
      </c>
      <c r="G5" s="12" t="inlineStr">
        <is>
          <t>Aktif</t>
        </is>
      </c>
      <c r="H5" s="9" t="n">
        <v>36</v>
      </c>
    </row>
    <row r="6">
      <c r="A6" s="9" t="n">
        <v>5</v>
      </c>
      <c r="B6" s="9" t="inlineStr">
        <is>
          <t>Pinjol</t>
        </is>
      </c>
      <c r="C6" s="9" t="inlineStr">
        <is>
          <t>Kredivo</t>
        </is>
      </c>
      <c r="D6" s="10" t="n">
        <v>3000000</v>
      </c>
      <c r="E6" s="11" t="n">
        <v>0.18</v>
      </c>
      <c r="F6" s="10" t="n">
        <v>280000</v>
      </c>
      <c r="G6" s="12" t="inlineStr">
        <is>
          <t>Aktif</t>
        </is>
      </c>
      <c r="H6" s="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 ht="26" customHeight="1">
      <c r="A1" s="13" t="inlineStr">
        <is>
          <t>⚡ SIMULASI: AVALANCHE vs SNOWBALL</t>
        </is>
      </c>
    </row>
    <row r="3">
      <c r="A3" t="inlineStr">
        <is>
          <t>Pembayaran Ekstra/Bulan (Rp):</t>
        </is>
      </c>
      <c r="B3" s="14" t="n">
        <v>500000</v>
      </c>
    </row>
    <row r="5" ht="20" customHeight="1">
      <c r="A5" s="8" t="inlineStr">
        <is>
          <t>Metode</t>
        </is>
      </c>
      <c r="B5" s="8" t="inlineStr">
        <is>
          <t>Total Bulan</t>
        </is>
      </c>
      <c r="C5" s="8" t="inlineStr">
        <is>
          <t>Total Bunga (Rp)</t>
        </is>
      </c>
      <c r="D5" s="8" t="inlineStr">
        <is>
          <t>Hemat vs Minimum</t>
        </is>
      </c>
      <c r="E5" s="8" t="inlineStr">
        <is>
          <t>Rekomendasi</t>
        </is>
      </c>
    </row>
    <row r="6">
      <c r="A6" s="15" t="inlineStr">
        <is>
          <t>AVALANCHE (Bunga Tertinggi)</t>
        </is>
      </c>
      <c r="B6" s="16" t="n">
        <v>26</v>
      </c>
      <c r="C6" s="17" t="n">
        <v>4100000</v>
      </c>
      <c r="D6" s="18">
        <f>C7-C6</f>
        <v/>
      </c>
      <c r="E6" s="15" t="inlineStr">
        <is>
          <t>✅ Hemat Bunga Lebih</t>
        </is>
      </c>
    </row>
    <row r="7">
      <c r="A7" s="15" t="inlineStr">
        <is>
          <t>SNOWBALL (Nominal Terkecil)</t>
        </is>
      </c>
      <c r="B7" s="16" t="n">
        <v>31</v>
      </c>
      <c r="C7" s="17" t="n">
        <v>6900000</v>
      </c>
      <c r="D7" s="15" t="n"/>
      <c r="E7" s="15" t="inlineStr">
        <is>
          <t>Lebih Termotivasi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9" t="inlineStr">
        <is>
          <t>Cara Pakai — Manajemen Utang</t>
        </is>
      </c>
    </row>
    <row r="3">
      <c r="A3" s="20" t="inlineStr">
        <is>
          <t>PANDUAN WARNA:</t>
        </is>
      </c>
    </row>
    <row r="4">
      <c r="A4" s="21" t="inlineStr">
        <is>
          <t xml:space="preserve">  • Biru: Sel input — ISI dengan data kamu</t>
        </is>
      </c>
    </row>
    <row r="5">
      <c r="A5" s="21" t="inlineStr">
        <is>
          <t xml:space="preserve">  • Hitam: Formula otomatis — JANGAN dihapus</t>
        </is>
      </c>
    </row>
    <row r="6">
      <c r="A6" s="21" t="inlineStr">
        <is>
          <t xml:space="preserve">  • Hijau: Mengambil data dari sheet lain — jangan dihapus</t>
        </is>
      </c>
    </row>
    <row r="7">
      <c r="A7" s="21" t="inlineStr">
        <is>
          <t xml:space="preserve">  • Background kuning: Asumsi penting yang perlu diperhatikan</t>
        </is>
      </c>
    </row>
    <row r="9">
      <c r="A9" s="20" t="inlineStr">
        <is>
          <t>LANGKAH-LANGKAH:</t>
        </is>
      </c>
    </row>
    <row r="10">
      <c r="A10" s="21" t="inlineStr">
        <is>
          <t xml:space="preserve">  1. Buka sheet "Daftar Utang" dan isi semua utangmu (sel biru)</t>
        </is>
      </c>
    </row>
    <row r="11">
      <c r="A11" s="21" t="inlineStr">
        <is>
          <t xml:space="preserve">  2. Pastikan Status diisi "Aktif" atau "Lunas"</t>
        </is>
      </c>
    </row>
    <row r="12">
      <c r="A12" s="21" t="inlineStr">
        <is>
          <t xml:space="preserve">  3. Buka sheet "Simulasi Pelunasan" untuk melihat strategi terbaik</t>
        </is>
      </c>
    </row>
    <row r="13">
      <c r="A13" s="21" t="inlineStr">
        <is>
          <t xml:space="preserve">  4. Isi sel kuning "Pembayaran Ekstra" dengan jumlah yang bisa kamu bayar lebih</t>
        </is>
      </c>
    </row>
    <row r="14">
      <c r="A14" s="21" t="inlineStr">
        <is>
          <t xml:space="preserve">  5. Dashboard otomatis menghitung total dan ringkasan</t>
        </is>
      </c>
    </row>
    <row r="17">
      <c r="A17" s="22" t="inlineStr">
        <is>
          <t>© 2026 Tomonee — Template Keuangan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2026-04-13T17:37:54Z</dcterms:created>
  <dcterms:modified xmlns:dcterms="http://purl.org/dc/terms/" xmlns:xsi="http://www.w3.org/2001/XMLSchema-instance" xsi:type="dcterms:W3CDTF">2026-04-13T17:37:54Z</dcterms:modified>
</cp:coreProperties>
</file>