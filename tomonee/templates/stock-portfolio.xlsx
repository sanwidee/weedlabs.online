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viden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Cara Pak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p #,##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8000"/>
      <sz val="10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5" fillId="0" borderId="1" pivotButton="0" quotePrefix="0" xfId="0"/>
    <xf numFmtId="165" fontId="5" fillId="0" borderId="1" pivotButton="0" quotePrefix="0" xfId="0"/>
    <xf numFmtId="1" fontId="5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4" customWidth="1" min="5" max="5"/>
    <col width="14" customWidth="1" min="6" max="6"/>
    <col width="10" customWidth="1" min="7" max="7"/>
    <col width="18" customWidth="1" min="8" max="8"/>
    <col width="18" customWidth="1" min="9" max="9"/>
    <col width="14" customWidth="1" min="10" max="10"/>
    <col width="12" customWidth="1" min="11" max="11"/>
  </cols>
  <sheetData>
    <row r="1" ht="20" customHeight="1">
      <c r="A1" s="1" t="inlineStr">
        <is>
          <t>Ticker</t>
        </is>
      </c>
      <c r="B1" s="1" t="inlineStr">
        <is>
          <t>Perusahaan</t>
        </is>
      </c>
      <c r="C1" s="1" t="inlineStr">
        <is>
          <t>Sektor</t>
        </is>
      </c>
      <c r="D1" s="1" t="inlineStr">
        <is>
          <t>Tgl Beli</t>
        </is>
      </c>
      <c r="E1" s="1" t="inlineStr">
        <is>
          <t>Harga Beli</t>
        </is>
      </c>
      <c r="F1" s="1" t="inlineStr">
        <is>
          <t>Harga Skrg</t>
        </is>
      </c>
      <c r="G1" s="1" t="inlineStr">
        <is>
          <t>Lot</t>
        </is>
      </c>
      <c r="H1" s="1" t="inlineStr">
        <is>
          <t>Nilai Beli (Rp)</t>
        </is>
      </c>
      <c r="I1" s="1" t="inlineStr">
        <is>
          <t>Nilai Skrg (Rp)</t>
        </is>
      </c>
      <c r="J1" s="1" t="inlineStr">
        <is>
          <t>P&amp;L (Rp)</t>
        </is>
      </c>
      <c r="K1" s="1" t="inlineStr">
        <is>
          <t>P&amp;L %</t>
        </is>
      </c>
    </row>
    <row r="2">
      <c r="A2" s="2" t="inlineStr">
        <is>
          <t>BBCA</t>
        </is>
      </c>
      <c r="B2" s="2" t="inlineStr">
        <is>
          <t>Bank Central Asia</t>
        </is>
      </c>
      <c r="C2" s="2" t="inlineStr">
        <is>
          <t>Keuangan</t>
        </is>
      </c>
      <c r="D2" s="2" t="inlineStr">
        <is>
          <t>01/01/2025</t>
        </is>
      </c>
      <c r="E2" s="3" t="n">
        <v>9500</v>
      </c>
      <c r="F2" s="3" t="n">
        <v>10250</v>
      </c>
      <c r="G2" s="2" t="n">
        <v>20</v>
      </c>
      <c r="H2" s="4">
        <f>E2*G2*100</f>
        <v/>
      </c>
      <c r="I2" s="4">
        <f>F2*G2*100</f>
        <v/>
      </c>
      <c r="J2" s="4">
        <f>I2-H2</f>
        <v/>
      </c>
      <c r="K2" s="5">
        <f>IF(H2=0,0,J2/H2)</f>
        <v/>
      </c>
    </row>
    <row r="3">
      <c r="A3" s="2" t="inlineStr">
        <is>
          <t>TLKM</t>
        </is>
      </c>
      <c r="B3" s="2" t="inlineStr">
        <is>
          <t>Telkom Indonesia</t>
        </is>
      </c>
      <c r="C3" s="2" t="inlineStr">
        <is>
          <t>Teknologi</t>
        </is>
      </c>
      <c r="D3" s="2" t="inlineStr">
        <is>
          <t>15/03/2025</t>
        </is>
      </c>
      <c r="E3" s="3" t="n">
        <v>3100</v>
      </c>
      <c r="F3" s="3" t="n">
        <v>2950</v>
      </c>
      <c r="G3" s="2" t="n">
        <v>30</v>
      </c>
      <c r="H3" s="4">
        <f>E3*G3*100</f>
        <v/>
      </c>
      <c r="I3" s="4">
        <f>F3*G3*100</f>
        <v/>
      </c>
      <c r="J3" s="4">
        <f>I3-H3</f>
        <v/>
      </c>
      <c r="K3" s="5">
        <f>IF(H3=0,0,J3/H3)</f>
        <v/>
      </c>
    </row>
    <row r="4">
      <c r="A4" s="2" t="inlineStr">
        <is>
          <t>ASII</t>
        </is>
      </c>
      <c r="B4" s="2" t="inlineStr">
        <is>
          <t>Astra International</t>
        </is>
      </c>
      <c r="C4" s="2" t="inlineStr">
        <is>
          <t>Otomotif</t>
        </is>
      </c>
      <c r="D4" s="2" t="inlineStr">
        <is>
          <t>20/02/2025</t>
        </is>
      </c>
      <c r="E4" s="3" t="n">
        <v>4800</v>
      </c>
      <c r="F4" s="3" t="n">
        <v>5100</v>
      </c>
      <c r="G4" s="2" t="n">
        <v>15</v>
      </c>
      <c r="H4" s="4">
        <f>E4*G4*100</f>
        <v/>
      </c>
      <c r="I4" s="4">
        <f>F4*G4*100</f>
        <v/>
      </c>
      <c r="J4" s="4">
        <f>I4-H4</f>
        <v/>
      </c>
      <c r="K4" s="5">
        <f>IF(H4=0,0,J4/H4)</f>
        <v/>
      </c>
    </row>
    <row r="5">
      <c r="A5" s="2" t="inlineStr">
        <is>
          <t>BBRI</t>
        </is>
      </c>
      <c r="B5" s="2" t="inlineStr">
        <is>
          <t>Bank Rakyat Indonesia</t>
        </is>
      </c>
      <c r="C5" s="2" t="inlineStr">
        <is>
          <t>Keuangan</t>
        </is>
      </c>
      <c r="D5" s="2" t="inlineStr">
        <is>
          <t>10/04/2025</t>
        </is>
      </c>
      <c r="E5" s="3" t="n">
        <v>4600</v>
      </c>
      <c r="F5" s="3" t="n">
        <v>4750</v>
      </c>
      <c r="G5" s="2" t="n">
        <v>25</v>
      </c>
      <c r="H5" s="4">
        <f>E5*G5*100</f>
        <v/>
      </c>
      <c r="I5" s="4">
        <f>F5*G5*100</f>
        <v/>
      </c>
      <c r="J5" s="4">
        <f>I5-H5</f>
        <v/>
      </c>
      <c r="K5" s="5">
        <f>IF(H5=0,0,J5/H5)</f>
        <v/>
      </c>
    </row>
    <row r="6">
      <c r="A6" s="2" t="inlineStr">
        <is>
          <t>UNVR</t>
        </is>
      </c>
      <c r="B6" s="2" t="inlineStr">
        <is>
          <t>Unilever Indonesia</t>
        </is>
      </c>
      <c r="C6" s="2" t="inlineStr">
        <is>
          <t>Konsumer</t>
        </is>
      </c>
      <c r="D6" s="2" t="inlineStr">
        <is>
          <t>05/01/2025</t>
        </is>
      </c>
      <c r="E6" s="3" t="n">
        <v>3200</v>
      </c>
      <c r="F6" s="3" t="n">
        <v>3050</v>
      </c>
      <c r="G6" s="2" t="n">
        <v>10</v>
      </c>
      <c r="H6" s="4">
        <f>E6*G6*100</f>
        <v/>
      </c>
      <c r="I6" s="4">
        <f>F6*G6*100</f>
        <v/>
      </c>
      <c r="J6" s="4">
        <f>I6-H6</f>
        <v/>
      </c>
      <c r="K6" s="5">
        <f>IF(H6=0,0,J6/H6)</f>
        <v/>
      </c>
    </row>
    <row r="7">
      <c r="A7" s="2" t="inlineStr">
        <is>
          <t>BMRI</t>
        </is>
      </c>
      <c r="B7" s="2" t="inlineStr">
        <is>
          <t>Bank Mandiri</t>
        </is>
      </c>
      <c r="C7" s="2" t="inlineStr">
        <is>
          <t>Keuangan</t>
        </is>
      </c>
      <c r="D7" s="2" t="inlineStr">
        <is>
          <t>20/06/2025</t>
        </is>
      </c>
      <c r="E7" s="3" t="n">
        <v>6100</v>
      </c>
      <c r="F7" s="3" t="n">
        <v>6400</v>
      </c>
      <c r="G7" s="2" t="n">
        <v>20</v>
      </c>
      <c r="H7" s="4">
        <f>E7*G7*100</f>
        <v/>
      </c>
      <c r="I7" s="4">
        <f>F7*G7*100</f>
        <v/>
      </c>
      <c r="J7" s="4">
        <f>I7-H7</f>
        <v/>
      </c>
      <c r="K7" s="5">
        <f>IF(H7=0,0,J7/H7)</f>
        <v/>
      </c>
    </row>
    <row r="8">
      <c r="A8" s="2" t="inlineStr">
        <is>
          <t>ICBP</t>
        </is>
      </c>
      <c r="B8" s="2" t="inlineStr">
        <is>
          <t>Indofood CBP</t>
        </is>
      </c>
      <c r="C8" s="2" t="inlineStr">
        <is>
          <t>Konsumer</t>
        </is>
      </c>
      <c r="D8" s="2" t="inlineStr">
        <is>
          <t>15/07/2025</t>
        </is>
      </c>
      <c r="E8" s="3" t="n">
        <v>9800</v>
      </c>
      <c r="F8" s="3" t="n">
        <v>10200</v>
      </c>
      <c r="G8" s="2" t="n">
        <v>8</v>
      </c>
      <c r="H8" s="4">
        <f>E8*G8*100</f>
        <v/>
      </c>
      <c r="I8" s="4">
        <f>F8*G8*100</f>
        <v/>
      </c>
      <c r="J8" s="4">
        <f>I8-H8</f>
        <v/>
      </c>
      <c r="K8" s="5">
        <f>IF(H8=0,0,J8/H8)</f>
        <v/>
      </c>
    </row>
    <row r="9">
      <c r="A9" s="2" t="inlineStr">
        <is>
          <t>GOTO</t>
        </is>
      </c>
      <c r="B9" s="2" t="inlineStr">
        <is>
          <t>GoTo Gojek Tokopedia</t>
        </is>
      </c>
      <c r="C9" s="2" t="inlineStr">
        <is>
          <t>Teknologi</t>
        </is>
      </c>
      <c r="D9" s="2" t="inlineStr">
        <is>
          <t>01/08/2025</t>
        </is>
      </c>
      <c r="E9" s="3" t="n">
        <v>68</v>
      </c>
      <c r="F9" s="3" t="n">
        <v>75</v>
      </c>
      <c r="G9" s="2" t="n">
        <v>500</v>
      </c>
      <c r="H9" s="4">
        <f>E9*G9*100</f>
        <v/>
      </c>
      <c r="I9" s="4">
        <f>F9*G9*100</f>
        <v/>
      </c>
      <c r="J9" s="4">
        <f>I9-H9</f>
        <v/>
      </c>
      <c r="K9" s="5">
        <f>IF(H9=0,0,J9/H9)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6" t="inlineStr">
        <is>
          <t>RINGKASAN PORTFOLIO SAHAM</t>
        </is>
      </c>
    </row>
    <row r="3">
      <c r="A3" s="7" t="inlineStr">
        <is>
          <t>Total Nilai Beli</t>
        </is>
      </c>
      <c r="B3" s="8">
        <f>SUM(Holdings!H2:H20)</f>
        <v/>
      </c>
    </row>
    <row r="4">
      <c r="A4" s="7" t="inlineStr">
        <is>
          <t>Total Nilai Sekarang</t>
        </is>
      </c>
      <c r="B4" s="8">
        <f>SUM(Holdings!I2:I20)</f>
        <v/>
      </c>
    </row>
    <row r="5">
      <c r="A5" s="7" t="inlineStr">
        <is>
          <t>Total P&amp;L</t>
        </is>
      </c>
      <c r="B5" s="8">
        <f>SUM(Holdings!J2:J20)</f>
        <v/>
      </c>
    </row>
    <row r="6">
      <c r="A6" s="7" t="inlineStr">
        <is>
          <t>Total Return %</t>
        </is>
      </c>
      <c r="B6" s="9">
        <f>IF(B3=0,0,B4/B3)</f>
        <v/>
      </c>
    </row>
    <row r="7">
      <c r="A7" s="7" t="inlineStr">
        <is>
          <t>Jumlah Saham</t>
        </is>
      </c>
      <c r="B7" s="10">
        <f>COUNTA(Holdings!A2:A20)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</cols>
  <sheetData>
    <row r="1" ht="20" customHeight="1">
      <c r="A1" s="1" t="inlineStr">
        <is>
          <t>Ticker</t>
        </is>
      </c>
      <c r="B1" s="1" t="inlineStr">
        <is>
          <t>Perusahaan</t>
        </is>
      </c>
      <c r="C1" s="1" t="inlineStr">
        <is>
          <t>Ex-Date</t>
        </is>
      </c>
      <c r="D1" s="1" t="inlineStr">
        <is>
          <t>Pay Date</t>
        </is>
      </c>
      <c r="E1" s="1" t="inlineStr">
        <is>
          <t>Div/Lembar</t>
        </is>
      </c>
      <c r="F1" s="1" t="inlineStr">
        <is>
          <t>Lembar</t>
        </is>
      </c>
      <c r="G1" s="1" t="inlineStr">
        <is>
          <t>Total Diterima</t>
        </is>
      </c>
    </row>
    <row r="2">
      <c r="A2" s="2" t="inlineStr">
        <is>
          <t>BBCA</t>
        </is>
      </c>
      <c r="B2" s="2" t="inlineStr">
        <is>
          <t>Bank Central Asia</t>
        </is>
      </c>
      <c r="C2" s="2" t="inlineStr">
        <is>
          <t>12/03/2026</t>
        </is>
      </c>
      <c r="D2" s="2" t="inlineStr">
        <is>
          <t>28/03/2026</t>
        </is>
      </c>
      <c r="E2" s="11" t="n">
        <v>340</v>
      </c>
      <c r="F2" s="2" t="n">
        <v>2000</v>
      </c>
      <c r="G2" s="4">
        <f>E2*F2</f>
        <v/>
      </c>
    </row>
    <row r="3">
      <c r="A3" s="2" t="inlineStr">
        <is>
          <t>TLKM</t>
        </is>
      </c>
      <c r="B3" s="2" t="inlineStr">
        <is>
          <t>Telkom Indonesia</t>
        </is>
      </c>
      <c r="C3" s="2" t="inlineStr">
        <is>
          <t>05/04/2026</t>
        </is>
      </c>
      <c r="D3" s="2" t="inlineStr">
        <is>
          <t>20/04/2026</t>
        </is>
      </c>
      <c r="E3" s="11" t="n">
        <v>195</v>
      </c>
      <c r="F3" s="2" t="n">
        <v>3000</v>
      </c>
      <c r="G3" s="4">
        <f>E3*F3</f>
        <v/>
      </c>
    </row>
    <row r="4">
      <c r="A4" s="2" t="inlineStr">
        <is>
          <t>BBRI</t>
        </is>
      </c>
      <c r="B4" s="2" t="inlineStr">
        <is>
          <t>Bank Rakyat Indonesia</t>
        </is>
      </c>
      <c r="C4" s="2" t="inlineStr">
        <is>
          <t>18/04/2026</t>
        </is>
      </c>
      <c r="D4" s="2" t="inlineStr">
        <is>
          <t>30/04/2026</t>
        </is>
      </c>
      <c r="E4" s="11" t="n">
        <v>280</v>
      </c>
      <c r="F4" s="2" t="n">
        <v>2500</v>
      </c>
      <c r="G4" s="4">
        <f>E4*F4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4" customWidth="1" min="4" max="4"/>
    <col width="14" customWidth="1" min="5" max="5"/>
    <col width="12" customWidth="1" min="6" max="6"/>
  </cols>
  <sheetData>
    <row r="1" ht="20" customHeight="1">
      <c r="A1" s="1" t="inlineStr">
        <is>
          <t>Ticker</t>
        </is>
      </c>
      <c r="B1" s="1" t="inlineStr">
        <is>
          <t>Perusahaan</t>
        </is>
      </c>
      <c r="C1" s="1" t="inlineStr">
        <is>
          <t>Sektor</t>
        </is>
      </c>
      <c r="D1" s="1" t="inlineStr">
        <is>
          <t>Harga Skrg</t>
        </is>
      </c>
      <c r="E1" s="1" t="inlineStr">
        <is>
          <t>Target Masuk</t>
        </is>
      </c>
      <c r="F1" s="1" t="inlineStr">
        <is>
          <t>Upside %</t>
        </is>
      </c>
    </row>
    <row r="2">
      <c r="A2" s="2" t="inlineStr">
        <is>
          <t>GOTO</t>
        </is>
      </c>
      <c r="B2" s="2" t="inlineStr">
        <is>
          <t>GoTo</t>
        </is>
      </c>
      <c r="C2" s="2" t="inlineStr">
        <is>
          <t>Teknologi</t>
        </is>
      </c>
      <c r="D2" s="3" t="n">
        <v>75</v>
      </c>
      <c r="E2" s="3" t="n">
        <v>60</v>
      </c>
      <c r="F2" s="5">
        <f>(E2-D2)/D2</f>
        <v/>
      </c>
    </row>
    <row r="3">
      <c r="A3" s="2" t="inlineStr">
        <is>
          <t>BUKA</t>
        </is>
      </c>
      <c r="B3" s="2" t="inlineStr">
        <is>
          <t>Bukalapak</t>
        </is>
      </c>
      <c r="C3" s="2" t="inlineStr">
        <is>
          <t>Teknologi</t>
        </is>
      </c>
      <c r="D3" s="3" t="n">
        <v>100</v>
      </c>
      <c r="E3" s="3" t="n">
        <v>80</v>
      </c>
      <c r="F3" s="5">
        <f>(E3-D3)/D3</f>
        <v/>
      </c>
    </row>
    <row r="4">
      <c r="A4" s="2" t="inlineStr">
        <is>
          <t>ARTO</t>
        </is>
      </c>
      <c r="B4" s="2" t="inlineStr">
        <is>
          <t>Bank Jago</t>
        </is>
      </c>
      <c r="C4" s="2" t="inlineStr">
        <is>
          <t>Keuangan</t>
        </is>
      </c>
      <c r="D4" s="3" t="n">
        <v>1850</v>
      </c>
      <c r="E4" s="3" t="n">
        <v>1500</v>
      </c>
      <c r="F4" s="5">
        <f>(E4-D4)/D4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2" t="inlineStr">
        <is>
          <t>Cara Pakai — Portofolio Saham</t>
        </is>
      </c>
    </row>
    <row r="3">
      <c r="A3" s="13" t="inlineStr">
        <is>
          <t>PANDUAN WARNA:</t>
        </is>
      </c>
    </row>
    <row r="4">
      <c r="A4" s="14" t="inlineStr">
        <is>
          <t xml:space="preserve">  • Biru: Sel input — ISI dengan data kamu</t>
        </is>
      </c>
    </row>
    <row r="5">
      <c r="A5" s="14" t="inlineStr">
        <is>
          <t xml:space="preserve">  • Hitam: Formula otomatis — JANGAN dihapus</t>
        </is>
      </c>
    </row>
    <row r="6">
      <c r="A6" s="14" t="inlineStr">
        <is>
          <t xml:space="preserve">  • Hijau: Mengambil data dari sheet lain — jangan dihapus</t>
        </is>
      </c>
    </row>
    <row r="7">
      <c r="A7" s="14" t="inlineStr">
        <is>
          <t xml:space="preserve">  • Background kuning: Asumsi penting yang perlu diperhatikan</t>
        </is>
      </c>
    </row>
    <row r="9">
      <c r="A9" s="13" t="inlineStr">
        <is>
          <t>LANGKAH-LANGKAH:</t>
        </is>
      </c>
    </row>
    <row r="10">
      <c r="A10" s="14" t="inlineStr">
        <is>
          <t xml:space="preserve">  1. Isi sheet Holdings dengan saham yang kamu miliki</t>
        </is>
      </c>
    </row>
    <row r="11">
      <c r="A11" s="14" t="inlineStr">
        <is>
          <t xml:space="preserve">  2. Update kolom Harga Sekarang secara berkala</t>
        </is>
      </c>
    </row>
    <row r="12">
      <c r="A12" s="14" t="inlineStr">
        <is>
          <t xml:space="preserve">  3. Catat setiap penerimaan dividen di sheet Dividen</t>
        </is>
      </c>
    </row>
    <row r="13">
      <c r="A13" s="14" t="inlineStr">
        <is>
          <t xml:space="preserve">  4. Tambah saham incaran di sheet Watchlist</t>
        </is>
      </c>
    </row>
    <row r="16">
      <c r="A16" s="15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