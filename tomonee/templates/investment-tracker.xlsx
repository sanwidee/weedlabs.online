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Investasi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Proyeksi" sheetId="3" state="visible" r:id="rId3"/>
    <sheet xmlns:r="http://schemas.openxmlformats.org/officeDocument/2006/relationships" name="Cara Pak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8000"/>
      <sz val="10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164" fontId="2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1" ht="20" customHeight="1">
      <c r="A1" s="1" t="inlineStr">
        <is>
          <t>No</t>
        </is>
      </c>
      <c r="B1" s="1" t="inlineStr">
        <is>
          <t>Nama Instrumen</t>
        </is>
      </c>
      <c r="C1" s="1" t="inlineStr">
        <is>
          <t>Jenis</t>
        </is>
      </c>
      <c r="D1" s="1" t="inlineStr">
        <is>
          <t>Modal Awal (Rp)</t>
        </is>
      </c>
      <c r="E1" s="1" t="inlineStr">
        <is>
          <t>Nilai Saat Ini (Rp)</t>
        </is>
      </c>
      <c r="F1" s="1" t="inlineStr">
        <is>
          <t>Gain/Loss (Rp)</t>
        </is>
      </c>
      <c r="G1" s="1" t="inlineStr">
        <is>
          <t>Return (%)</t>
        </is>
      </c>
      <c r="H1" s="1" t="inlineStr">
        <is>
          <t>Target (Rp)</t>
        </is>
      </c>
      <c r="I1" s="1" t="inlineStr">
        <is>
          <t>Status</t>
        </is>
      </c>
    </row>
    <row r="2">
      <c r="A2" s="2" t="n">
        <v>1</v>
      </c>
      <c r="B2" s="2" t="inlineStr">
        <is>
          <t>Reksa Dana Pasar Uang BCA</t>
        </is>
      </c>
      <c r="C2" s="2" t="inlineStr">
        <is>
          <t>Reksa Dana</t>
        </is>
      </c>
      <c r="D2" s="3" t="n">
        <v>10000000</v>
      </c>
      <c r="E2" s="3" t="n">
        <v>10450000</v>
      </c>
      <c r="F2" s="4">
        <f>E2-D2</f>
        <v/>
      </c>
      <c r="G2" s="5">
        <f>IF(D2=0,0,(E2-D2)/D2)</f>
        <v/>
      </c>
      <c r="H2" s="3" t="n">
        <v>10000000</v>
      </c>
      <c r="I2" s="6">
        <f>IF(G2&gt;=0.1,"✅ On Track","⚠️ Monitor")</f>
        <v/>
      </c>
    </row>
    <row r="3">
      <c r="A3" s="2" t="n">
        <v>2</v>
      </c>
      <c r="B3" s="2" t="inlineStr">
        <is>
          <t>BBCA (Saham)</t>
        </is>
      </c>
      <c r="C3" s="2" t="inlineStr">
        <is>
          <t>Saham</t>
        </is>
      </c>
      <c r="D3" s="3" t="n">
        <v>5000000</v>
      </c>
      <c r="E3" s="3" t="n">
        <v>6200000</v>
      </c>
      <c r="F3" s="4">
        <f>E3-D3</f>
        <v/>
      </c>
      <c r="G3" s="5">
        <f>IF(D3=0,0,(E3-D3)/D3)</f>
        <v/>
      </c>
      <c r="H3" s="3" t="n">
        <v>5000000</v>
      </c>
      <c r="I3" s="6">
        <f>IF(G3&gt;=0.1,"✅ On Track","⚠️ Monitor")</f>
        <v/>
      </c>
    </row>
    <row r="4">
      <c r="A4" s="2" t="n">
        <v>3</v>
      </c>
      <c r="B4" s="2" t="inlineStr">
        <is>
          <t>SBR012</t>
        </is>
      </c>
      <c r="C4" s="2" t="inlineStr">
        <is>
          <t>Obligasi</t>
        </is>
      </c>
      <c r="D4" s="3" t="n">
        <v>5000000</v>
      </c>
      <c r="E4" s="3" t="n">
        <v>5350000</v>
      </c>
      <c r="F4" s="4">
        <f>E4-D4</f>
        <v/>
      </c>
      <c r="G4" s="5">
        <f>IF(D4=0,0,(E4-D4)/D4)</f>
        <v/>
      </c>
      <c r="H4" s="3" t="n">
        <v>5000000</v>
      </c>
      <c r="I4" s="6">
        <f>IF(G4&gt;=0.1,"✅ On Track","⚠️ Monitor")</f>
        <v/>
      </c>
    </row>
    <row r="5">
      <c r="A5" s="2" t="n">
        <v>4</v>
      </c>
      <c r="B5" s="2" t="inlineStr">
        <is>
          <t>Danamas P2P</t>
        </is>
      </c>
      <c r="C5" s="2" t="inlineStr">
        <is>
          <t>P2P Lending</t>
        </is>
      </c>
      <c r="D5" s="3" t="n">
        <v>3000000</v>
      </c>
      <c r="E5" s="3" t="n">
        <v>3330000</v>
      </c>
      <c r="F5" s="4">
        <f>E5-D5</f>
        <v/>
      </c>
      <c r="G5" s="5">
        <f>IF(D5=0,0,(E5-D5)/D5)</f>
        <v/>
      </c>
      <c r="H5" s="3" t="n">
        <v>3000000</v>
      </c>
      <c r="I5" s="6">
        <f>IF(G5&gt;=0.1,"✅ On Track","⚠️ Monitor")</f>
        <v/>
      </c>
    </row>
    <row r="6">
      <c r="A6" s="2" t="n">
        <v>5</v>
      </c>
      <c r="B6" s="2" t="inlineStr">
        <is>
          <t>Reksa Dana Saham Schroders</t>
        </is>
      </c>
      <c r="C6" s="2" t="inlineStr">
        <is>
          <t>Reksa Dana</t>
        </is>
      </c>
      <c r="D6" s="3" t="n">
        <v>8000000</v>
      </c>
      <c r="E6" s="3" t="n">
        <v>9100000</v>
      </c>
      <c r="F6" s="4">
        <f>E6-D6</f>
        <v/>
      </c>
      <c r="G6" s="5">
        <f>IF(D6=0,0,(E6-D6)/D6)</f>
        <v/>
      </c>
      <c r="H6" s="3" t="n">
        <v>8000000</v>
      </c>
      <c r="I6" s="6">
        <f>IF(G6&gt;=0.1,"✅ On Track","⚠️ Monitor")</f>
        <v/>
      </c>
    </row>
    <row r="7">
      <c r="A7" s="2" t="n">
        <v>6</v>
      </c>
      <c r="B7" s="2" t="inlineStr">
        <is>
          <t>ETH (Crypto)</t>
        </is>
      </c>
      <c r="C7" s="2" t="inlineStr">
        <is>
          <t>Kripto</t>
        </is>
      </c>
      <c r="D7" s="3" t="n">
        <v>2000000</v>
      </c>
      <c r="E7" s="3" t="n">
        <v>1800000</v>
      </c>
      <c r="F7" s="4">
        <f>E7-D7</f>
        <v/>
      </c>
      <c r="G7" s="5">
        <f>IF(D7=0,0,(E7-D7)/D7)</f>
        <v/>
      </c>
      <c r="H7" s="3" t="n">
        <v>2000000</v>
      </c>
      <c r="I7" s="6">
        <f>IF(G7&gt;=0.1,"✅ On Track","⚠️ Monitor")</f>
        <v/>
      </c>
    </row>
    <row r="8">
      <c r="A8" s="2" t="n">
        <v>7</v>
      </c>
      <c r="B8" s="2" t="inlineStr">
        <is>
          <t>Emas Antam</t>
        </is>
      </c>
      <c r="C8" s="2" t="inlineStr">
        <is>
          <t>Emas</t>
        </is>
      </c>
      <c r="D8" s="3" t="n">
        <v>5000000</v>
      </c>
      <c r="E8" s="3" t="n">
        <v>5600000</v>
      </c>
      <c r="F8" s="4">
        <f>E8-D8</f>
        <v/>
      </c>
      <c r="G8" s="5">
        <f>IF(D8=0,0,(E8-D8)/D8)</f>
        <v/>
      </c>
      <c r="H8" s="3" t="n">
        <v>5000000</v>
      </c>
      <c r="I8" s="6">
        <f>IF(G8&gt;=0.1,"✅ On Track","⚠️ Monitor")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7" t="inlineStr">
        <is>
          <t>RINGKASAN PORTFOLIO</t>
        </is>
      </c>
    </row>
    <row r="3">
      <c r="A3" s="8" t="inlineStr">
        <is>
          <t>Total Modal Awal</t>
        </is>
      </c>
      <c r="B3" s="9">
        <f>SUM('Daftar Investasi'!D2:D20)</f>
        <v/>
      </c>
    </row>
    <row r="4">
      <c r="A4" s="8" t="inlineStr">
        <is>
          <t>Total Nilai Sekarang</t>
        </is>
      </c>
      <c r="B4" s="9">
        <f>SUM('Daftar Investasi'!E2:E20)</f>
        <v/>
      </c>
    </row>
    <row r="5">
      <c r="A5" s="8" t="inlineStr">
        <is>
          <t>Total Gain/Loss</t>
        </is>
      </c>
      <c r="B5" s="9">
        <f>SUM('Daftar Investasi'!F2:F20)</f>
        <v/>
      </c>
    </row>
    <row r="6">
      <c r="A6" s="8" t="inlineStr">
        <is>
          <t>Total Return %</t>
        </is>
      </c>
      <c r="B6" s="10">
        <f>IF(B3=0,0,(B4-B3)/B3)</f>
        <v/>
      </c>
    </row>
    <row r="8">
      <c r="A8" s="11" t="inlineStr">
        <is>
          <t>Alokasi per Jenis</t>
        </is>
      </c>
    </row>
    <row r="9" ht="20" customHeight="1">
      <c r="A9" s="1" t="inlineStr">
        <is>
          <t>Jenis Investasi</t>
        </is>
      </c>
      <c r="B9" s="1" t="inlineStr">
        <is>
          <t>Total Modal (Rp)</t>
        </is>
      </c>
      <c r="C9" s="1" t="inlineStr">
        <is>
          <t>% Alokasi</t>
        </is>
      </c>
    </row>
    <row r="10">
      <c r="A10" s="2" t="inlineStr">
        <is>
          <t>Reksa Dana</t>
        </is>
      </c>
      <c r="B10" s="4">
        <f>SUMIF('Daftar Investasi'!C2:C20,A10,'Daftar Investasi'!D2:D20)</f>
        <v/>
      </c>
      <c r="C10" s="5">
        <f>IF(B3=0,0,B10/B3)</f>
        <v/>
      </c>
    </row>
    <row r="11">
      <c r="A11" s="2" t="inlineStr">
        <is>
          <t>Saham</t>
        </is>
      </c>
      <c r="B11" s="4">
        <f>SUMIF('Daftar Investasi'!C2:C20,A11,'Daftar Investasi'!D2:D20)</f>
        <v/>
      </c>
      <c r="C11" s="5">
        <f>IF(B3=0,0,B11/B3)</f>
        <v/>
      </c>
    </row>
    <row r="12">
      <c r="A12" s="2" t="inlineStr">
        <is>
          <t>Obligasi</t>
        </is>
      </c>
      <c r="B12" s="4">
        <f>SUMIF('Daftar Investasi'!C2:C20,A12,'Daftar Investasi'!D2:D20)</f>
        <v/>
      </c>
      <c r="C12" s="5">
        <f>IF(B3=0,0,B12/B3)</f>
        <v/>
      </c>
    </row>
    <row r="13">
      <c r="A13" s="2" t="inlineStr">
        <is>
          <t>P2P Lending</t>
        </is>
      </c>
      <c r="B13" s="4">
        <f>SUMIF('Daftar Investasi'!C2:C20,A13,'Daftar Investasi'!D2:D20)</f>
        <v/>
      </c>
      <c r="C13" s="5">
        <f>IF(B3=0,0,B13/B3)</f>
        <v/>
      </c>
    </row>
    <row r="14">
      <c r="A14" s="2" t="inlineStr">
        <is>
          <t>Kripto</t>
        </is>
      </c>
      <c r="B14" s="4">
        <f>SUMIF('Daftar Investasi'!C2:C20,A14,'Daftar Investasi'!D2:D20)</f>
        <v/>
      </c>
      <c r="C14" s="5">
        <f>IF(B3=0,0,B14/B3)</f>
        <v/>
      </c>
    </row>
    <row r="15">
      <c r="A15" s="2" t="inlineStr">
        <is>
          <t>Emas</t>
        </is>
      </c>
      <c r="B15" s="4">
        <f>SUMIF('Daftar Investasi'!C2:C20,A15,'Daftar Investasi'!D2:D20)</f>
        <v/>
      </c>
      <c r="C15" s="5">
        <f>IF(B3=0,0,B15/B3)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Modal Awal (Rp):</t>
        </is>
      </c>
      <c r="B1" s="12" t="n">
        <v>10000000</v>
      </c>
    </row>
    <row r="2">
      <c r="A2" t="inlineStr">
        <is>
          <t>Kontribusi/Bln (Rp):</t>
        </is>
      </c>
      <c r="B2" s="12" t="n">
        <v>500000</v>
      </c>
    </row>
    <row r="4" ht="20" customHeight="1">
      <c r="A4" s="1" t="inlineStr">
        <is>
          <t>Tahun</t>
        </is>
      </c>
      <c r="B4" s="1" t="inlineStr">
        <is>
          <t>Skenario Konservatif
6% p.a.</t>
        </is>
      </c>
      <c r="C4" s="1" t="inlineStr">
        <is>
          <t>Skenario Moderat
12% p.a.</t>
        </is>
      </c>
      <c r="D4" s="1" t="inlineStr">
        <is>
          <t>Skenario Agresif
18% p.a.</t>
        </is>
      </c>
    </row>
    <row r="5">
      <c r="A5" s="6" t="n">
        <v>1</v>
      </c>
      <c r="B5" s="4">
        <f>$B$1*(1+0.06)^A5+$B$2*12*(((1+0.06)^A5-1)/0.06)</f>
        <v/>
      </c>
      <c r="C5" s="4">
        <f>$B$1*(1+0.12)^A5+$B$2*12*(((1+0.12)^A5-1)/0.12)</f>
        <v/>
      </c>
      <c r="D5" s="4">
        <f>$B$1*(1+0.18)^A5+$B$2*12*(((1+0.18)^A5-1)/0.18)</f>
        <v/>
      </c>
    </row>
    <row r="6">
      <c r="A6" s="6" t="n">
        <v>2</v>
      </c>
      <c r="B6" s="4">
        <f>$B$1*(1+0.06)^A6+$B$2*12*(((1+0.06)^A6-1)/0.06)</f>
        <v/>
      </c>
      <c r="C6" s="4">
        <f>$B$1*(1+0.12)^A6+$B$2*12*(((1+0.12)^A6-1)/0.12)</f>
        <v/>
      </c>
      <c r="D6" s="4">
        <f>$B$1*(1+0.18)^A6+$B$2*12*(((1+0.18)^A6-1)/0.18)</f>
        <v/>
      </c>
    </row>
    <row r="7">
      <c r="A7" s="6" t="n">
        <v>3</v>
      </c>
      <c r="B7" s="4">
        <f>$B$1*(1+0.06)^A7+$B$2*12*(((1+0.06)^A7-1)/0.06)</f>
        <v/>
      </c>
      <c r="C7" s="4">
        <f>$B$1*(1+0.12)^A7+$B$2*12*(((1+0.12)^A7-1)/0.12)</f>
        <v/>
      </c>
      <c r="D7" s="4">
        <f>$B$1*(1+0.18)^A7+$B$2*12*(((1+0.18)^A7-1)/0.18)</f>
        <v/>
      </c>
    </row>
    <row r="8">
      <c r="A8" s="6" t="n">
        <v>4</v>
      </c>
      <c r="B8" s="4">
        <f>$B$1*(1+0.06)^A8+$B$2*12*(((1+0.06)^A8-1)/0.06)</f>
        <v/>
      </c>
      <c r="C8" s="4">
        <f>$B$1*(1+0.12)^A8+$B$2*12*(((1+0.12)^A8-1)/0.12)</f>
        <v/>
      </c>
      <c r="D8" s="4">
        <f>$B$1*(1+0.18)^A8+$B$2*12*(((1+0.18)^A8-1)/0.18)</f>
        <v/>
      </c>
    </row>
    <row r="9">
      <c r="A9" s="6" t="n">
        <v>5</v>
      </c>
      <c r="B9" s="4">
        <f>$B$1*(1+0.06)^A9+$B$2*12*(((1+0.06)^A9-1)/0.06)</f>
        <v/>
      </c>
      <c r="C9" s="4">
        <f>$B$1*(1+0.12)^A9+$B$2*12*(((1+0.12)^A9-1)/0.12)</f>
        <v/>
      </c>
      <c r="D9" s="4">
        <f>$B$1*(1+0.18)^A9+$B$2*12*(((1+0.18)^A9-1)/0.18)</f>
        <v/>
      </c>
    </row>
    <row r="10">
      <c r="A10" s="6" t="n">
        <v>6</v>
      </c>
      <c r="B10" s="4">
        <f>$B$1*(1+0.06)^A10+$B$2*12*(((1+0.06)^A10-1)/0.06)</f>
        <v/>
      </c>
      <c r="C10" s="4">
        <f>$B$1*(1+0.12)^A10+$B$2*12*(((1+0.12)^A10-1)/0.12)</f>
        <v/>
      </c>
      <c r="D10" s="4">
        <f>$B$1*(1+0.18)^A10+$B$2*12*(((1+0.18)^A10-1)/0.18)</f>
        <v/>
      </c>
    </row>
    <row r="11">
      <c r="A11" s="6" t="n">
        <v>7</v>
      </c>
      <c r="B11" s="4">
        <f>$B$1*(1+0.06)^A11+$B$2*12*(((1+0.06)^A11-1)/0.06)</f>
        <v/>
      </c>
      <c r="C11" s="4">
        <f>$B$1*(1+0.12)^A11+$B$2*12*(((1+0.12)^A11-1)/0.12)</f>
        <v/>
      </c>
      <c r="D11" s="4">
        <f>$B$1*(1+0.18)^A11+$B$2*12*(((1+0.18)^A11-1)/0.18)</f>
        <v/>
      </c>
    </row>
    <row r="12">
      <c r="A12" s="6" t="n">
        <v>8</v>
      </c>
      <c r="B12" s="4">
        <f>$B$1*(1+0.06)^A12+$B$2*12*(((1+0.06)^A12-1)/0.06)</f>
        <v/>
      </c>
      <c r="C12" s="4">
        <f>$B$1*(1+0.12)^A12+$B$2*12*(((1+0.12)^A12-1)/0.12)</f>
        <v/>
      </c>
      <c r="D12" s="4">
        <f>$B$1*(1+0.18)^A12+$B$2*12*(((1+0.18)^A12-1)/0.18)</f>
        <v/>
      </c>
    </row>
    <row r="13">
      <c r="A13" s="6" t="n">
        <v>9</v>
      </c>
      <c r="B13" s="4">
        <f>$B$1*(1+0.06)^A13+$B$2*12*(((1+0.06)^A13-1)/0.06)</f>
        <v/>
      </c>
      <c r="C13" s="4">
        <f>$B$1*(1+0.12)^A13+$B$2*12*(((1+0.12)^A13-1)/0.12)</f>
        <v/>
      </c>
      <c r="D13" s="4">
        <f>$B$1*(1+0.18)^A13+$B$2*12*(((1+0.18)^A13-1)/0.18)</f>
        <v/>
      </c>
    </row>
    <row r="14">
      <c r="A14" s="6" t="n">
        <v>10</v>
      </c>
      <c r="B14" s="4">
        <f>$B$1*(1+0.06)^A14+$B$2*12*(((1+0.06)^A14-1)/0.06)</f>
        <v/>
      </c>
      <c r="C14" s="4">
        <f>$B$1*(1+0.12)^A14+$B$2*12*(((1+0.12)^A14-1)/0.12)</f>
        <v/>
      </c>
      <c r="D14" s="4">
        <f>$B$1*(1+0.18)^A14+$B$2*12*(((1+0.18)^A14-1)/0.18)</f>
        <v/>
      </c>
    </row>
    <row r="15">
      <c r="A15" s="6" t="n">
        <v>11</v>
      </c>
      <c r="B15" s="4">
        <f>$B$1*(1+0.06)^A15+$B$2*12*(((1+0.06)^A15-1)/0.06)</f>
        <v/>
      </c>
      <c r="C15" s="4">
        <f>$B$1*(1+0.12)^A15+$B$2*12*(((1+0.12)^A15-1)/0.12)</f>
        <v/>
      </c>
      <c r="D15" s="4">
        <f>$B$1*(1+0.18)^A15+$B$2*12*(((1+0.18)^A15-1)/0.18)</f>
        <v/>
      </c>
    </row>
    <row r="16">
      <c r="A16" s="6" t="n">
        <v>12</v>
      </c>
      <c r="B16" s="4">
        <f>$B$1*(1+0.06)^A16+$B$2*12*(((1+0.06)^A16-1)/0.06)</f>
        <v/>
      </c>
      <c r="C16" s="4">
        <f>$B$1*(1+0.12)^A16+$B$2*12*(((1+0.12)^A16-1)/0.12)</f>
        <v/>
      </c>
      <c r="D16" s="4">
        <f>$B$1*(1+0.18)^A16+$B$2*12*(((1+0.18)^A16-1)/0.18)</f>
        <v/>
      </c>
    </row>
    <row r="17">
      <c r="A17" s="6" t="n">
        <v>13</v>
      </c>
      <c r="B17" s="4">
        <f>$B$1*(1+0.06)^A17+$B$2*12*(((1+0.06)^A17-1)/0.06)</f>
        <v/>
      </c>
      <c r="C17" s="4">
        <f>$B$1*(1+0.12)^A17+$B$2*12*(((1+0.12)^A17-1)/0.12)</f>
        <v/>
      </c>
      <c r="D17" s="4">
        <f>$B$1*(1+0.18)^A17+$B$2*12*(((1+0.18)^A17-1)/0.18)</f>
        <v/>
      </c>
    </row>
    <row r="18">
      <c r="A18" s="6" t="n">
        <v>14</v>
      </c>
      <c r="B18" s="4">
        <f>$B$1*(1+0.06)^A18+$B$2*12*(((1+0.06)^A18-1)/0.06)</f>
        <v/>
      </c>
      <c r="C18" s="4">
        <f>$B$1*(1+0.12)^A18+$B$2*12*(((1+0.12)^A18-1)/0.12)</f>
        <v/>
      </c>
      <c r="D18" s="4">
        <f>$B$1*(1+0.18)^A18+$B$2*12*(((1+0.18)^A18-1)/0.18)</f>
        <v/>
      </c>
    </row>
    <row r="19">
      <c r="A19" s="6" t="n">
        <v>15</v>
      </c>
      <c r="B19" s="4">
        <f>$B$1*(1+0.06)^A19+$B$2*12*(((1+0.06)^A19-1)/0.06)</f>
        <v/>
      </c>
      <c r="C19" s="4">
        <f>$B$1*(1+0.12)^A19+$B$2*12*(((1+0.12)^A19-1)/0.12)</f>
        <v/>
      </c>
      <c r="D19" s="4">
        <f>$B$1*(1+0.18)^A19+$B$2*12*(((1+0.18)^A19-1)/0.18)</f>
        <v/>
      </c>
    </row>
    <row r="20">
      <c r="A20" s="6" t="n">
        <v>16</v>
      </c>
      <c r="B20" s="4">
        <f>$B$1*(1+0.06)^A20+$B$2*12*(((1+0.06)^A20-1)/0.06)</f>
        <v/>
      </c>
      <c r="C20" s="4">
        <f>$B$1*(1+0.12)^A20+$B$2*12*(((1+0.12)^A20-1)/0.12)</f>
        <v/>
      </c>
      <c r="D20" s="4">
        <f>$B$1*(1+0.18)^A20+$B$2*12*(((1+0.18)^A20-1)/0.18)</f>
        <v/>
      </c>
    </row>
    <row r="21">
      <c r="A21" s="6" t="n">
        <v>17</v>
      </c>
      <c r="B21" s="4">
        <f>$B$1*(1+0.06)^A21+$B$2*12*(((1+0.06)^A21-1)/0.06)</f>
        <v/>
      </c>
      <c r="C21" s="4">
        <f>$B$1*(1+0.12)^A21+$B$2*12*(((1+0.12)^A21-1)/0.12)</f>
        <v/>
      </c>
      <c r="D21" s="4">
        <f>$B$1*(1+0.18)^A21+$B$2*12*(((1+0.18)^A21-1)/0.18)</f>
        <v/>
      </c>
    </row>
    <row r="22">
      <c r="A22" s="6" t="n">
        <v>18</v>
      </c>
      <c r="B22" s="4">
        <f>$B$1*(1+0.06)^A22+$B$2*12*(((1+0.06)^A22-1)/0.06)</f>
        <v/>
      </c>
      <c r="C22" s="4">
        <f>$B$1*(1+0.12)^A22+$B$2*12*(((1+0.12)^A22-1)/0.12)</f>
        <v/>
      </c>
      <c r="D22" s="4">
        <f>$B$1*(1+0.18)^A22+$B$2*12*(((1+0.18)^A22-1)/0.18)</f>
        <v/>
      </c>
    </row>
    <row r="23">
      <c r="A23" s="6" t="n">
        <v>19</v>
      </c>
      <c r="B23" s="4">
        <f>$B$1*(1+0.06)^A23+$B$2*12*(((1+0.06)^A23-1)/0.06)</f>
        <v/>
      </c>
      <c r="C23" s="4">
        <f>$B$1*(1+0.12)^A23+$B$2*12*(((1+0.12)^A23-1)/0.12)</f>
        <v/>
      </c>
      <c r="D23" s="4">
        <f>$B$1*(1+0.18)^A23+$B$2*12*(((1+0.18)^A23-1)/0.18)</f>
        <v/>
      </c>
    </row>
    <row r="24">
      <c r="A24" s="6" t="n">
        <v>20</v>
      </c>
      <c r="B24" s="4">
        <f>$B$1*(1+0.06)^A24+$B$2*12*(((1+0.06)^A24-1)/0.06)</f>
        <v/>
      </c>
      <c r="C24" s="4">
        <f>$B$1*(1+0.12)^A24+$B$2*12*(((1+0.12)^A24-1)/0.12)</f>
        <v/>
      </c>
      <c r="D24" s="4">
        <f>$B$1*(1+0.18)^A24+$B$2*12*(((1+0.18)^A24-1)/0.18)</f>
        <v/>
      </c>
    </row>
    <row r="25">
      <c r="A25" s="6" t="n">
        <v>21</v>
      </c>
      <c r="B25" s="4">
        <f>$B$1*(1+0.06)^A25+$B$2*12*(((1+0.06)^A25-1)/0.06)</f>
        <v/>
      </c>
      <c r="C25" s="4">
        <f>$B$1*(1+0.12)^A25+$B$2*12*(((1+0.12)^A25-1)/0.12)</f>
        <v/>
      </c>
      <c r="D25" s="4">
        <f>$B$1*(1+0.18)^A25+$B$2*12*(((1+0.18)^A25-1)/0.18)</f>
        <v/>
      </c>
    </row>
    <row r="26">
      <c r="A26" s="6" t="n">
        <v>22</v>
      </c>
      <c r="B26" s="4">
        <f>$B$1*(1+0.06)^A26+$B$2*12*(((1+0.06)^A26-1)/0.06)</f>
        <v/>
      </c>
      <c r="C26" s="4">
        <f>$B$1*(1+0.12)^A26+$B$2*12*(((1+0.12)^A26-1)/0.12)</f>
        <v/>
      </c>
      <c r="D26" s="4">
        <f>$B$1*(1+0.18)^A26+$B$2*12*(((1+0.18)^A26-1)/0.18)</f>
        <v/>
      </c>
    </row>
    <row r="27">
      <c r="A27" s="6" t="n">
        <v>23</v>
      </c>
      <c r="B27" s="4">
        <f>$B$1*(1+0.06)^A27+$B$2*12*(((1+0.06)^A27-1)/0.06)</f>
        <v/>
      </c>
      <c r="C27" s="4">
        <f>$B$1*(1+0.12)^A27+$B$2*12*(((1+0.12)^A27-1)/0.12)</f>
        <v/>
      </c>
      <c r="D27" s="4">
        <f>$B$1*(1+0.18)^A27+$B$2*12*(((1+0.18)^A27-1)/0.18)</f>
        <v/>
      </c>
    </row>
    <row r="28">
      <c r="A28" s="6" t="n">
        <v>24</v>
      </c>
      <c r="B28" s="4">
        <f>$B$1*(1+0.06)^A28+$B$2*12*(((1+0.06)^A28-1)/0.06)</f>
        <v/>
      </c>
      <c r="C28" s="4">
        <f>$B$1*(1+0.12)^A28+$B$2*12*(((1+0.12)^A28-1)/0.12)</f>
        <v/>
      </c>
      <c r="D28" s="4">
        <f>$B$1*(1+0.18)^A28+$B$2*12*(((1+0.18)^A28-1)/0.18)</f>
        <v/>
      </c>
    </row>
    <row r="29">
      <c r="A29" s="6" t="n">
        <v>25</v>
      </c>
      <c r="B29" s="4">
        <f>$B$1*(1+0.06)^A29+$B$2*12*(((1+0.06)^A29-1)/0.06)</f>
        <v/>
      </c>
      <c r="C29" s="4">
        <f>$B$1*(1+0.12)^A29+$B$2*12*(((1+0.12)^A29-1)/0.12)</f>
        <v/>
      </c>
      <c r="D29" s="4">
        <f>$B$1*(1+0.18)^A29+$B$2*12*(((1+0.18)^A29-1)/0.18)</f>
        <v/>
      </c>
    </row>
    <row r="30">
      <c r="A30" s="6" t="n">
        <v>26</v>
      </c>
      <c r="B30" s="4">
        <f>$B$1*(1+0.06)^A30+$B$2*12*(((1+0.06)^A30-1)/0.06)</f>
        <v/>
      </c>
      <c r="C30" s="4">
        <f>$B$1*(1+0.12)^A30+$B$2*12*(((1+0.12)^A30-1)/0.12)</f>
        <v/>
      </c>
      <c r="D30" s="4">
        <f>$B$1*(1+0.18)^A30+$B$2*12*(((1+0.18)^A30-1)/0.18)</f>
        <v/>
      </c>
    </row>
    <row r="31">
      <c r="A31" s="6" t="n">
        <v>27</v>
      </c>
      <c r="B31" s="4">
        <f>$B$1*(1+0.06)^A31+$B$2*12*(((1+0.06)^A31-1)/0.06)</f>
        <v/>
      </c>
      <c r="C31" s="4">
        <f>$B$1*(1+0.12)^A31+$B$2*12*(((1+0.12)^A31-1)/0.12)</f>
        <v/>
      </c>
      <c r="D31" s="4">
        <f>$B$1*(1+0.18)^A31+$B$2*12*(((1+0.18)^A31-1)/0.18)</f>
        <v/>
      </c>
    </row>
    <row r="32">
      <c r="A32" s="6" t="n">
        <v>28</v>
      </c>
      <c r="B32" s="4">
        <f>$B$1*(1+0.06)^A32+$B$2*12*(((1+0.06)^A32-1)/0.06)</f>
        <v/>
      </c>
      <c r="C32" s="4">
        <f>$B$1*(1+0.12)^A32+$B$2*12*(((1+0.12)^A32-1)/0.12)</f>
        <v/>
      </c>
      <c r="D32" s="4">
        <f>$B$1*(1+0.18)^A32+$B$2*12*(((1+0.18)^A32-1)/0.18)</f>
        <v/>
      </c>
    </row>
    <row r="33">
      <c r="A33" s="6" t="n">
        <v>29</v>
      </c>
      <c r="B33" s="4">
        <f>$B$1*(1+0.06)^A33+$B$2*12*(((1+0.06)^A33-1)/0.06)</f>
        <v/>
      </c>
      <c r="C33" s="4">
        <f>$B$1*(1+0.12)^A33+$B$2*12*(((1+0.12)^A33-1)/0.12)</f>
        <v/>
      </c>
      <c r="D33" s="4">
        <f>$B$1*(1+0.18)^A33+$B$2*12*(((1+0.18)^A33-1)/0.18)</f>
        <v/>
      </c>
    </row>
    <row r="34">
      <c r="A34" s="6" t="n">
        <v>30</v>
      </c>
      <c r="B34" s="4">
        <f>$B$1*(1+0.06)^A34+$B$2*12*(((1+0.06)^A34-1)/0.06)</f>
        <v/>
      </c>
      <c r="C34" s="4">
        <f>$B$1*(1+0.12)^A34+$B$2*12*(((1+0.12)^A34-1)/0.12)</f>
        <v/>
      </c>
      <c r="D34" s="4">
        <f>$B$1*(1+0.18)^A34+$B$2*12*(((1+0.18)^A34-1)/0.18)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3" t="inlineStr">
        <is>
          <t>Cara Pakai — Tracker Investasi</t>
        </is>
      </c>
    </row>
    <row r="3">
      <c r="A3" s="14" t="inlineStr">
        <is>
          <t>PANDUAN WARNA:</t>
        </is>
      </c>
    </row>
    <row r="4">
      <c r="A4" s="15" t="inlineStr">
        <is>
          <t xml:space="preserve">  • Biru: Sel input — ISI dengan data kamu</t>
        </is>
      </c>
    </row>
    <row r="5">
      <c r="A5" s="15" t="inlineStr">
        <is>
          <t xml:space="preserve">  • Hitam: Formula otomatis — JANGAN dihapus</t>
        </is>
      </c>
    </row>
    <row r="6">
      <c r="A6" s="15" t="inlineStr">
        <is>
          <t xml:space="preserve">  • Hijau: Mengambil data dari sheet lain — jangan dihapus</t>
        </is>
      </c>
    </row>
    <row r="7">
      <c r="A7" s="15" t="inlineStr">
        <is>
          <t xml:space="preserve">  • Background kuning: Asumsi penting yang perlu diperhatikan</t>
        </is>
      </c>
    </row>
    <row r="9">
      <c r="A9" s="14" t="inlineStr">
        <is>
          <t>LANGKAH-LANGKAH:</t>
        </is>
      </c>
    </row>
    <row r="10">
      <c r="A10" s="15" t="inlineStr">
        <is>
          <t xml:space="preserve">  1. Isi sheet "Daftar Investasi" dengan semua investasimu</t>
        </is>
      </c>
    </row>
    <row r="11">
      <c r="A11" s="15" t="inlineStr">
        <is>
          <t xml:space="preserve">  2. Update kolom "Nilai Saat Ini" secara berkala (mingguan/bulanan)</t>
        </is>
      </c>
    </row>
    <row r="12">
      <c r="A12" s="15" t="inlineStr">
        <is>
          <t xml:space="preserve">  3. Lihat Portfolio Summary untuk gambaran alokasi</t>
        </is>
      </c>
    </row>
    <row r="13">
      <c r="A13" s="15" t="inlineStr">
        <is>
          <t xml:space="preserve">  4. Gunakan sheet Proyeksi untuk simulasikan pertumbuhan jangka panjang</t>
        </is>
      </c>
    </row>
    <row r="16">
      <c r="A16" s="16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