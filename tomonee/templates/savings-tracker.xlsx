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a Darurat" sheetId="1" state="visible" r:id="rId1"/>
    <sheet xmlns:r="http://schemas.openxmlformats.org/officeDocument/2006/relationships" name="Target Tabungan" sheetId="2" state="visible" r:id="rId2"/>
    <sheet xmlns:r="http://schemas.openxmlformats.org/officeDocument/2006/relationships" name="Proyeksi Bunga" sheetId="3" state="visible" r:id="rId3"/>
    <sheet xmlns:r="http://schemas.openxmlformats.org/officeDocument/2006/relationships" name="Cara Paka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p #,##0"/>
    <numFmt numFmtId="165" formatCode="0.0%"/>
    <numFmt numFmtId="166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0000FF"/>
      <sz val="10"/>
    </font>
    <font>
      <name val="Arial"/>
      <color rgb="00000000"/>
      <sz val="10"/>
    </font>
    <font>
      <name val="Arial"/>
      <b val="1"/>
    </font>
    <font>
      <name val="Courier New"/>
      <b val="1"/>
      <color rgb="00009977"/>
      <sz val="12"/>
    </font>
    <font>
      <name val="Arial"/>
      <b val="1"/>
      <color rgb="00FFFFFF"/>
      <sz val="11"/>
    </font>
    <font>
      <name val="Arial"/>
      <b val="1"/>
      <color rgb="001F3864"/>
      <sz val="14"/>
    </font>
    <font>
      <name val="Arial"/>
      <b val="1"/>
      <sz val="11"/>
    </font>
    <font>
      <name val="Arial"/>
      <sz val="10"/>
    </font>
    <font>
      <name val="Arial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2" fillId="3" borderId="0" pivotButton="0" quotePrefix="0" xfId="0"/>
    <xf numFmtId="0" fontId="2" fillId="3" borderId="0" pivotButton="0" quotePrefix="0" xfId="0"/>
    <xf numFmtId="0" fontId="3" fillId="4" borderId="0" pivotButton="0" quotePrefix="0" xfId="0"/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1" t="inlineStr">
        <is>
          <t>🏦 DANA DARURAT</t>
        </is>
      </c>
    </row>
    <row r="3">
      <c r="A3" t="inlineStr">
        <is>
          <t>Pengeluaran Bulanan (Rp):</t>
        </is>
      </c>
      <c r="B3" s="2" t="n">
        <v>8000000</v>
      </c>
    </row>
    <row r="4">
      <c r="A4" t="inlineStr">
        <is>
          <t>Dana Darurat Saat Ini (Rp):</t>
        </is>
      </c>
      <c r="B4" s="2" t="n">
        <v>12000000</v>
      </c>
    </row>
    <row r="5">
      <c r="A5" t="inlineStr">
        <is>
          <t>Target Bulan Pengeluaran:</t>
        </is>
      </c>
      <c r="B5" s="3" t="n">
        <v>6</v>
      </c>
    </row>
    <row r="6">
      <c r="A6" s="4" t="inlineStr">
        <is>
          <t>Target Dana Darurat (Rp)</t>
        </is>
      </c>
      <c r="B6" s="5">
        <f>B3*B5</f>
        <v/>
      </c>
    </row>
    <row r="7">
      <c r="A7" s="4" t="inlineStr">
        <is>
          <t>Kekurangan / Surplus (Rp)</t>
        </is>
      </c>
      <c r="B7" s="5">
        <f>B4-B6</f>
        <v/>
      </c>
    </row>
    <row r="8">
      <c r="A8" s="4" t="inlineStr">
        <is>
          <t>Progress (%)</t>
        </is>
      </c>
      <c r="B8" s="6">
        <f>MIN(1,B4/B6)</f>
        <v/>
      </c>
    </row>
    <row r="9">
      <c r="A9" s="4" t="inlineStr">
        <is>
          <t>Bulan Pengeluaran Tercover</t>
        </is>
      </c>
      <c r="B9" s="7">
        <f>B4/B3</f>
        <v/>
      </c>
    </row>
    <row r="11">
      <c r="A11" s="8" t="inlineStr">
        <is>
          <t>Progress Bar:</t>
        </is>
      </c>
      <c r="B11" s="9">
        <f>REPT("█",ROUND(MIN(1,B4/B6)*20,0))&amp;REPT("░",20-ROUND(MIN(1,B4/B6)*20,0))&amp;" "&amp;TEXT(MIN(1,B4/B6),"0%")</f>
        <v/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20" customWidth="1" min="3" max="3"/>
    <col width="20" customWidth="1" min="4" max="4"/>
    <col width="20" customWidth="1" min="5" max="5"/>
    <col width="16" customWidth="1" min="6" max="6"/>
    <col width="14" customWidth="1" min="7" max="7"/>
    <col width="14" customWidth="1" min="8" max="8"/>
  </cols>
  <sheetData>
    <row r="1" ht="20" customHeight="1">
      <c r="A1" s="10" t="inlineStr">
        <is>
          <t>No</t>
        </is>
      </c>
      <c r="B1" s="10" t="inlineStr">
        <is>
          <t>Nama Tujuan</t>
        </is>
      </c>
      <c r="C1" s="10" t="inlineStr">
        <is>
          <t>Target (Rp)</t>
        </is>
      </c>
      <c r="D1" s="10" t="inlineStr">
        <is>
          <t>Saat Ini (Rp)</t>
        </is>
      </c>
      <c r="E1" s="10" t="inlineStr">
        <is>
          <t>Tgl Target</t>
        </is>
      </c>
      <c r="F1" s="10" t="inlineStr">
        <is>
          <t>Kontribusi/Bln</t>
        </is>
      </c>
      <c r="G1" s="10" t="inlineStr">
        <is>
          <t>Progress %</t>
        </is>
      </c>
      <c r="H1" s="10" t="inlineStr">
        <is>
          <t>Status</t>
        </is>
      </c>
    </row>
    <row r="2">
      <c r="A2" s="11" t="n">
        <v>1</v>
      </c>
      <c r="B2" s="11" t="inlineStr">
        <is>
          <t>Dana Darurat 6 Bulan</t>
        </is>
      </c>
      <c r="C2" s="12" t="n">
        <v>48000000</v>
      </c>
      <c r="D2" s="12" t="n">
        <v>12000000</v>
      </c>
      <c r="E2" s="11" t="inlineStr">
        <is>
          <t>31/12/2026</t>
        </is>
      </c>
      <c r="F2" s="12" t="n">
        <v>3000000</v>
      </c>
      <c r="G2" s="6">
        <f>IF(C2=0,0,MIN(1,D2/C2))</f>
        <v/>
      </c>
      <c r="H2" s="11">
        <f>IF(G2&gt;=1,"✅ Tercapai",IF(G2&gt;=0.5,"🟡 Setengah","🔴 Baru Mulai"))</f>
        <v/>
      </c>
    </row>
    <row r="3">
      <c r="A3" s="11" t="n">
        <v>2</v>
      </c>
      <c r="B3" s="11" t="inlineStr">
        <is>
          <t>DP Rumah</t>
        </is>
      </c>
      <c r="C3" s="12" t="n">
        <v>200000000</v>
      </c>
      <c r="D3" s="12" t="n">
        <v>45000000</v>
      </c>
      <c r="E3" s="11" t="inlineStr">
        <is>
          <t>31/12/2028</t>
        </is>
      </c>
      <c r="F3" s="12" t="n">
        <v>5000000</v>
      </c>
      <c r="G3" s="6">
        <f>IF(C3=0,0,MIN(1,D3/C3))</f>
        <v/>
      </c>
      <c r="H3" s="11">
        <f>IF(G3&gt;=1,"✅ Tercapai",IF(G3&gt;=0.5,"🟡 Setengah","🔴 Baru Mulai"))</f>
        <v/>
      </c>
    </row>
    <row r="4">
      <c r="A4" s="11" t="n">
        <v>3</v>
      </c>
      <c r="B4" s="11" t="inlineStr">
        <is>
          <t>Dana Pendidikan Anak</t>
        </is>
      </c>
      <c r="C4" s="12" t="n">
        <v>100000000</v>
      </c>
      <c r="D4" s="12" t="n">
        <v>20000000</v>
      </c>
      <c r="E4" s="11" t="inlineStr">
        <is>
          <t>01/01/2030</t>
        </is>
      </c>
      <c r="F4" s="12" t="n">
        <v>2000000</v>
      </c>
      <c r="G4" s="6">
        <f>IF(C4=0,0,MIN(1,D4/C4))</f>
        <v/>
      </c>
      <c r="H4" s="11">
        <f>IF(G4&gt;=1,"✅ Tercapai",IF(G4&gt;=0.5,"🟡 Setengah","🔴 Baru Mulai"))</f>
        <v/>
      </c>
    </row>
    <row r="5">
      <c r="A5" s="11" t="n">
        <v>4</v>
      </c>
      <c r="B5" s="11" t="inlineStr">
        <is>
          <t>Liburan ke Jepang</t>
        </is>
      </c>
      <c r="C5" s="12" t="n">
        <v>25000000</v>
      </c>
      <c r="D5" s="12" t="n">
        <v>5000000</v>
      </c>
      <c r="E5" s="11" t="inlineStr">
        <is>
          <t>30/06/2026</t>
        </is>
      </c>
      <c r="F5" s="12" t="n">
        <v>2000000</v>
      </c>
      <c r="G5" s="6">
        <f>IF(C5=0,0,MIN(1,D5/C5))</f>
        <v/>
      </c>
      <c r="H5" s="11">
        <f>IF(G5&gt;=1,"✅ Tercapai",IF(G5&gt;=0.5,"🟡 Setengah","🔴 Baru Mulai"))</f>
        <v/>
      </c>
    </row>
    <row r="6">
      <c r="A6" s="11" t="n">
        <v>5</v>
      </c>
      <c r="B6" s="11" t="inlineStr">
        <is>
          <t>Dana Pensiun Awal</t>
        </is>
      </c>
      <c r="C6" s="12" t="n">
        <v>500000000</v>
      </c>
      <c r="D6" s="12" t="n">
        <v>80000000</v>
      </c>
      <c r="E6" s="11" t="inlineStr">
        <is>
          <t>01/01/2040</t>
        </is>
      </c>
      <c r="F6" s="12" t="n">
        <v>3000000</v>
      </c>
      <c r="G6" s="6">
        <f>IF(C6=0,0,MIN(1,D6/C6))</f>
        <v/>
      </c>
      <c r="H6" s="11">
        <f>IF(G6&gt;=1,"✅ Tercapai",IF(G6&gt;=0.5,"🟡 Setengah","🔴 Baru Mulai"))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Modal Awal (Rp):</t>
        </is>
      </c>
      <c r="B1" s="2" t="n">
        <v>10000000</v>
      </c>
    </row>
    <row r="2">
      <c r="A2" t="inlineStr">
        <is>
          <t>Tambahan/Bln (Rp):</t>
        </is>
      </c>
      <c r="B2" s="2" t="n">
        <v>500000</v>
      </c>
    </row>
    <row r="4" ht="20" customHeight="1">
      <c r="A4" s="10" t="inlineStr">
        <is>
          <t>Produk</t>
        </is>
      </c>
      <c r="B4" s="10" t="inlineStr">
        <is>
          <t>Bunga/Thn</t>
        </is>
      </c>
      <c r="C4" s="10" t="inlineStr">
        <is>
          <t>1 Tahun</t>
        </is>
      </c>
      <c r="D4" s="10" t="inlineStr">
        <is>
          <t>3 Tahun</t>
        </is>
      </c>
      <c r="E4" s="10" t="inlineStr">
        <is>
          <t>5 Tahun</t>
        </is>
      </c>
      <c r="F4" s="10" t="inlineStr">
        <is>
          <t>10 Tahun</t>
        </is>
      </c>
      <c r="G4" s="10" t="inlineStr">
        <is>
          <t>20 Tahun</t>
        </is>
      </c>
    </row>
    <row r="5">
      <c r="A5" s="11" t="inlineStr">
        <is>
          <t>Tabungan Biasa (BCA/Mandiri)</t>
        </is>
      </c>
      <c r="B5" s="13" t="n">
        <v>0.02</v>
      </c>
      <c r="C5" s="5">
        <f>$B$1*(1+B5)^1+$B$2*12*(((1+B5)^1-1)/B5)</f>
        <v/>
      </c>
      <c r="D5" s="5">
        <f>$B$1*(1+B5)^3+$B$2*12*(((1+B5)^3-1)/B5)</f>
        <v/>
      </c>
      <c r="E5" s="5">
        <f>$B$1*(1+B5)^5+$B$2*12*(((1+B5)^5-1)/B5)</f>
        <v/>
      </c>
      <c r="F5" s="5">
        <f>$B$1*(1+B5)^10+$B$2*12*(((1+B5)^10-1)/B5)</f>
        <v/>
      </c>
      <c r="G5" s="5">
        <f>$B$1*(1+B5)^20+$B$2*12*(((1+B5)^20-1)/B5)</f>
        <v/>
      </c>
    </row>
    <row r="6">
      <c r="A6" s="11" t="inlineStr">
        <is>
          <t>Tabungan Online (Jago/Blu)</t>
        </is>
      </c>
      <c r="B6" s="13" t="n">
        <v>0.04</v>
      </c>
      <c r="C6" s="5">
        <f>$B$1*(1+B6)^1+$B$2*12*(((1+B6)^1-1)/B6)</f>
        <v/>
      </c>
      <c r="D6" s="5">
        <f>$B$1*(1+B6)^3+$B$2*12*(((1+B6)^3-1)/B6)</f>
        <v/>
      </c>
      <c r="E6" s="5">
        <f>$B$1*(1+B6)^5+$B$2*12*(((1+B6)^5-1)/B6)</f>
        <v/>
      </c>
      <c r="F6" s="5">
        <f>$B$1*(1+B6)^10+$B$2*12*(((1+B6)^10-1)/B6)</f>
        <v/>
      </c>
      <c r="G6" s="5">
        <f>$B$1*(1+B6)^20+$B$2*12*(((1+B6)^20-1)/B6)</f>
        <v/>
      </c>
    </row>
    <row r="7">
      <c r="A7" s="11" t="inlineStr">
        <is>
          <t>Deposito Bank</t>
        </is>
      </c>
      <c r="B7" s="13" t="n">
        <v>0.06</v>
      </c>
      <c r="C7" s="5">
        <f>$B$1*(1+B7)^1+$B$2*12*(((1+B7)^1-1)/B7)</f>
        <v/>
      </c>
      <c r="D7" s="5">
        <f>$B$1*(1+B7)^3+$B$2*12*(((1+B7)^3-1)/B7)</f>
        <v/>
      </c>
      <c r="E7" s="5">
        <f>$B$1*(1+B7)^5+$B$2*12*(((1+B7)^5-1)/B7)</f>
        <v/>
      </c>
      <c r="F7" s="5">
        <f>$B$1*(1+B7)^10+$B$2*12*(((1+B7)^10-1)/B7)</f>
        <v/>
      </c>
      <c r="G7" s="5">
        <f>$B$1*(1+B7)^20+$B$2*12*(((1+B7)^20-1)/B7)</f>
        <v/>
      </c>
    </row>
    <row r="8">
      <c r="A8" s="11" t="inlineStr">
        <is>
          <t>ORI / SBR (Obligasi Negara)</t>
        </is>
      </c>
      <c r="B8" s="13" t="n">
        <v>0.065</v>
      </c>
      <c r="C8" s="5">
        <f>$B$1*(1+B8)^1+$B$2*12*(((1+B8)^1-1)/B8)</f>
        <v/>
      </c>
      <c r="D8" s="5">
        <f>$B$1*(1+B8)^3+$B$2*12*(((1+B8)^3-1)/B8)</f>
        <v/>
      </c>
      <c r="E8" s="5">
        <f>$B$1*(1+B8)^5+$B$2*12*(((1+B8)^5-1)/B8)</f>
        <v/>
      </c>
      <c r="F8" s="5">
        <f>$B$1*(1+B8)^10+$B$2*12*(((1+B8)^10-1)/B8)</f>
        <v/>
      </c>
      <c r="G8" s="5">
        <f>$B$1*(1+B8)^20+$B$2*12*(((1+B8)^20-1)/B8)</f>
        <v/>
      </c>
    </row>
    <row r="9">
      <c r="A9" s="11" t="inlineStr">
        <is>
          <t>Reksa Dana Pasar Uang</t>
        </is>
      </c>
      <c r="B9" s="13" t="n">
        <v>0.05</v>
      </c>
      <c r="C9" s="5">
        <f>$B$1*(1+B9)^1+$B$2*12*(((1+B9)^1-1)/B9)</f>
        <v/>
      </c>
      <c r="D9" s="5">
        <f>$B$1*(1+B9)^3+$B$2*12*(((1+B9)^3-1)/B9)</f>
        <v/>
      </c>
      <c r="E9" s="5">
        <f>$B$1*(1+B9)^5+$B$2*12*(((1+B9)^5-1)/B9)</f>
        <v/>
      </c>
      <c r="F9" s="5">
        <f>$B$1*(1+B9)^10+$B$2*12*(((1+B9)^10-1)/B9)</f>
        <v/>
      </c>
      <c r="G9" s="5">
        <f>$B$1*(1+B9)^20+$B$2*12*(((1+B9)^20-1)/B9)</f>
        <v/>
      </c>
    </row>
    <row r="10">
      <c r="A10" s="11" t="inlineStr">
        <is>
          <t>P2P Lending (est.)</t>
        </is>
      </c>
      <c r="B10" s="13" t="n">
        <v>0.1</v>
      </c>
      <c r="C10" s="5">
        <f>$B$1*(1+B10)^1+$B$2*12*(((1+B10)^1-1)/B10)</f>
        <v/>
      </c>
      <c r="D10" s="5">
        <f>$B$1*(1+B10)^3+$B$2*12*(((1+B10)^3-1)/B10)</f>
        <v/>
      </c>
      <c r="E10" s="5">
        <f>$B$1*(1+B10)^5+$B$2*12*(((1+B10)^5-1)/B10)</f>
        <v/>
      </c>
      <c r="F10" s="5">
        <f>$B$1*(1+B10)^10+$B$2*12*(((1+B10)^10-1)/B10)</f>
        <v/>
      </c>
      <c r="G10" s="5">
        <f>$B$1*(1+B10)^20+$B$2*12*(((1+B10)^20-1)/B10)</f>
        <v/>
      </c>
    </row>
    <row r="11">
      <c r="A11" s="11" t="inlineStr">
        <is>
          <t>Reksa Dana Saham (est.)</t>
        </is>
      </c>
      <c r="B11" s="13" t="n">
        <v>0.15</v>
      </c>
      <c r="C11" s="5">
        <f>$B$1*(1+B11)^1+$B$2*12*(((1+B11)^1-1)/B11)</f>
        <v/>
      </c>
      <c r="D11" s="5">
        <f>$B$1*(1+B11)^3+$B$2*12*(((1+B11)^3-1)/B11)</f>
        <v/>
      </c>
      <c r="E11" s="5">
        <f>$B$1*(1+B11)^5+$B$2*12*(((1+B11)^5-1)/B11)</f>
        <v/>
      </c>
      <c r="F11" s="5">
        <f>$B$1*(1+B11)^10+$B$2*12*(((1+B11)^10-1)/B11)</f>
        <v/>
      </c>
      <c r="G11" s="5">
        <f>$B$1*(1+B11)^20+$B$2*12*(((1+B11)^20-1)/B11)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5" customHeight="1">
      <c r="A1" s="14" t="inlineStr">
        <is>
          <t>Cara Pakai — Dana Darurat &amp; Tabungan</t>
        </is>
      </c>
    </row>
    <row r="3">
      <c r="A3" s="15" t="inlineStr">
        <is>
          <t>PANDUAN WARNA:</t>
        </is>
      </c>
    </row>
    <row r="4">
      <c r="A4" s="16" t="inlineStr">
        <is>
          <t xml:space="preserve">  • Biru: Sel input — ISI dengan data kamu</t>
        </is>
      </c>
    </row>
    <row r="5">
      <c r="A5" s="16" t="inlineStr">
        <is>
          <t xml:space="preserve">  • Hitam: Formula otomatis — JANGAN dihapus</t>
        </is>
      </c>
    </row>
    <row r="6">
      <c r="A6" s="16" t="inlineStr">
        <is>
          <t xml:space="preserve">  • Hijau: Mengambil data dari sheet lain — jangan dihapus</t>
        </is>
      </c>
    </row>
    <row r="7">
      <c r="A7" s="16" t="inlineStr">
        <is>
          <t xml:space="preserve">  • Background kuning: Asumsi penting yang perlu diperhatikan</t>
        </is>
      </c>
    </row>
    <row r="9">
      <c r="A9" s="15" t="inlineStr">
        <is>
          <t>LANGKAH-LANGKAH:</t>
        </is>
      </c>
    </row>
    <row r="10">
      <c r="A10" s="16" t="inlineStr">
        <is>
          <t xml:space="preserve">  1. Isi pengeluaran bulanan dan dana darurat saat ini di sheet Dana Darurat</t>
        </is>
      </c>
    </row>
    <row r="11">
      <c r="A11" s="16" t="inlineStr">
        <is>
          <t xml:space="preserve">  2. Lihat progress bar untuk tahu seberapa jauh dari target</t>
        </is>
      </c>
    </row>
    <row r="12">
      <c r="A12" s="16" t="inlineStr">
        <is>
          <t xml:space="preserve">  3. Isi tujuan tabungan kamu di sheet Target Tabungan</t>
        </is>
      </c>
    </row>
    <row r="13">
      <c r="A13" s="16" t="inlineStr">
        <is>
          <t xml:space="preserve">  4. Gunakan Proyeksi Bunga untuk bandingkan produk simpanan</t>
        </is>
      </c>
    </row>
    <row r="16">
      <c r="A16" s="17" t="inlineStr">
        <is>
          <t>© 2026 Tomonee — Template Keuangan Indonesia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2026-04-13T17:37:54Z</dcterms:created>
  <dcterms:modified xmlns:dcterms="http://purl.org/dc/terms/" xmlns:xsi="http://www.w3.org/2001/XMLSchema-instance" xsi:type="dcterms:W3CDTF">2026-04-13T17:37:54Z</dcterms:modified>
</cp:coreProperties>
</file>